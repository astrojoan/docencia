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759" documentId="11_9248B46DC1CBB2E3ED7FF6F9903E8C1851038383" xr6:coauthVersionLast="47" xr6:coauthVersionMax="47" xr10:uidLastSave="{450224AC-B4FC-4CBA-A047-03EE665F8386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4" i="1"/>
  <c r="N31" i="1"/>
  <c r="AA20" i="1"/>
  <c r="AA18" i="1"/>
  <c r="AA19" i="1"/>
  <c r="AA21" i="1" s="1"/>
  <c r="N28" i="1" s="1"/>
  <c r="O3" i="1"/>
  <c r="Z10" i="1"/>
  <c r="J13" i="1"/>
  <c r="O12" i="1"/>
  <c r="O13" i="1"/>
  <c r="N26" i="1"/>
  <c r="J107" i="1"/>
  <c r="J108" i="1"/>
  <c r="J109" i="1"/>
  <c r="J11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81" i="1"/>
  <c r="J82" i="1"/>
  <c r="J83" i="1"/>
  <c r="J84" i="1"/>
  <c r="J85" i="1"/>
  <c r="J86" i="1"/>
  <c r="J87" i="1"/>
  <c r="J88" i="1"/>
  <c r="J89" i="1"/>
  <c r="J90" i="1"/>
  <c r="J71" i="1"/>
  <c r="J72" i="1"/>
  <c r="J73" i="1"/>
  <c r="J74" i="1"/>
  <c r="J75" i="1"/>
  <c r="J76" i="1"/>
  <c r="J77" i="1"/>
  <c r="J78" i="1"/>
  <c r="J79" i="1"/>
  <c r="J80" i="1"/>
  <c r="J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4" i="1"/>
  <c r="N27" i="1" l="1"/>
  <c r="AA6" i="1"/>
  <c r="AA11" i="1"/>
  <c r="AA10" i="1"/>
  <c r="AA9" i="1"/>
  <c r="AA8" i="1"/>
  <c r="AA7" i="1"/>
</calcChain>
</file>

<file path=xl/sharedStrings.xml><?xml version="1.0" encoding="utf-8"?>
<sst xmlns="http://schemas.openxmlformats.org/spreadsheetml/2006/main" count="41" uniqueCount="31">
  <si>
    <t>L</t>
  </si>
  <si>
    <t>0.005</t>
  </si>
  <si>
    <t>m1</t>
  </si>
  <si>
    <t>n</t>
  </si>
  <si>
    <t>p min</t>
  </si>
  <si>
    <t>T min</t>
  </si>
  <si>
    <t>p max</t>
  </si>
  <si>
    <t>Tmax</t>
  </si>
  <si>
    <t>yn</t>
  </si>
  <si>
    <t>m2</t>
  </si>
  <si>
    <t>d</t>
  </si>
  <si>
    <t>b</t>
  </si>
  <si>
    <t>r2</t>
  </si>
  <si>
    <t>min</t>
  </si>
  <si>
    <t>l</t>
  </si>
  <si>
    <t>mb</t>
  </si>
  <si>
    <t>mb/m2</t>
  </si>
  <si>
    <t>(r2/d)^2</t>
  </si>
  <si>
    <t>ajust</t>
  </si>
  <si>
    <t>y=q+pn</t>
  </si>
  <si>
    <t>q</t>
  </si>
  <si>
    <t>theta l</t>
  </si>
  <si>
    <t>max</t>
  </si>
  <si>
    <t xml:space="preserve">p </t>
  </si>
  <si>
    <t>alpha T</t>
  </si>
  <si>
    <t>T</t>
  </si>
  <si>
    <t xml:space="preserve">alpha  </t>
  </si>
  <si>
    <t>beta</t>
  </si>
  <si>
    <t>pot1</t>
  </si>
  <si>
    <t>pot2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</si>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</sst>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 applyBorder="1" applyAlignment="1"/>
    <xf numFmtId="0" fontId="0" fillId="0" borderId="0" xfId="0" applyAlignment="1">
      <alignment wrapText="1"/>
    </xf>
    <xf numFmtId="0" fontId="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Hoja1!$I$117:$I$223</c:f>
              <c:numCache>
                <c:formatCode>General</c:formatCode>
                <c:ptCount val="107"/>
                <c:pt idx="0">
                  <c:v>0</c:v>
                </c:pt>
                <c:pt idx="1">
                  <c:v>33.47</c:v>
                </c:pt>
                <c:pt idx="2">
                  <c:v>67.3</c:v>
                </c:pt>
                <c:pt idx="3">
                  <c:v>96.72</c:v>
                </c:pt>
                <c:pt idx="4">
                  <c:v>125.33</c:v>
                </c:pt>
                <c:pt idx="5">
                  <c:v>153.46</c:v>
                </c:pt>
                <c:pt idx="6">
                  <c:v>182.16</c:v>
                </c:pt>
                <c:pt idx="7">
                  <c:v>212.17000000000002</c:v>
                </c:pt>
                <c:pt idx="8">
                  <c:v>241.37</c:v>
                </c:pt>
                <c:pt idx="9">
                  <c:v>270.26</c:v>
                </c:pt>
                <c:pt idx="10">
                  <c:v>299.01</c:v>
                </c:pt>
                <c:pt idx="11">
                  <c:v>332.21</c:v>
                </c:pt>
                <c:pt idx="12">
                  <c:v>360.59</c:v>
                </c:pt>
                <c:pt idx="13">
                  <c:v>391.08</c:v>
                </c:pt>
                <c:pt idx="14">
                  <c:v>420.57</c:v>
                </c:pt>
                <c:pt idx="15">
                  <c:v>442.54</c:v>
                </c:pt>
                <c:pt idx="16">
                  <c:v>476.64</c:v>
                </c:pt>
                <c:pt idx="17">
                  <c:v>507.38</c:v>
                </c:pt>
                <c:pt idx="18">
                  <c:v>536.66</c:v>
                </c:pt>
                <c:pt idx="19">
                  <c:v>564.54999999999995</c:v>
                </c:pt>
                <c:pt idx="20">
                  <c:v>592.33000000000004</c:v>
                </c:pt>
                <c:pt idx="21">
                  <c:v>619.86</c:v>
                </c:pt>
                <c:pt idx="22">
                  <c:v>650.86</c:v>
                </c:pt>
                <c:pt idx="23">
                  <c:v>679.15</c:v>
                </c:pt>
                <c:pt idx="24">
                  <c:v>712.58</c:v>
                </c:pt>
                <c:pt idx="25">
                  <c:v>748.21</c:v>
                </c:pt>
                <c:pt idx="26">
                  <c:v>780.7</c:v>
                </c:pt>
                <c:pt idx="27">
                  <c:v>809.5</c:v>
                </c:pt>
                <c:pt idx="28">
                  <c:v>837.05</c:v>
                </c:pt>
                <c:pt idx="29">
                  <c:v>868.52</c:v>
                </c:pt>
                <c:pt idx="30">
                  <c:v>897.66</c:v>
                </c:pt>
                <c:pt idx="31">
                  <c:v>929.34</c:v>
                </c:pt>
                <c:pt idx="32">
                  <c:v>950.2</c:v>
                </c:pt>
                <c:pt idx="33">
                  <c:v>986.76</c:v>
                </c:pt>
                <c:pt idx="34">
                  <c:v>1016.75</c:v>
                </c:pt>
                <c:pt idx="35">
                  <c:v>1046.8699999999999</c:v>
                </c:pt>
                <c:pt idx="36">
                  <c:v>1075.25</c:v>
                </c:pt>
                <c:pt idx="37">
                  <c:v>1106.26</c:v>
                </c:pt>
                <c:pt idx="38">
                  <c:v>1134.51</c:v>
                </c:pt>
                <c:pt idx="39">
                  <c:v>1163.05</c:v>
                </c:pt>
                <c:pt idx="40">
                  <c:v>1186.1500000000001</c:v>
                </c:pt>
                <c:pt idx="41">
                  <c:v>1222.01</c:v>
                </c:pt>
                <c:pt idx="42">
                  <c:v>1257.8800000000001</c:v>
                </c:pt>
                <c:pt idx="43">
                  <c:v>1288.78</c:v>
                </c:pt>
                <c:pt idx="44">
                  <c:v>1316.46</c:v>
                </c:pt>
                <c:pt idx="45">
                  <c:v>1347.15</c:v>
                </c:pt>
                <c:pt idx="46">
                  <c:v>1380.2</c:v>
                </c:pt>
                <c:pt idx="47">
                  <c:v>1410.17</c:v>
                </c:pt>
                <c:pt idx="48">
                  <c:v>1426.5</c:v>
                </c:pt>
                <c:pt idx="49">
                  <c:v>1464.85</c:v>
                </c:pt>
                <c:pt idx="50">
                  <c:v>1499.3</c:v>
                </c:pt>
                <c:pt idx="51">
                  <c:v>1530.31</c:v>
                </c:pt>
                <c:pt idx="52">
                  <c:v>1557.99</c:v>
                </c:pt>
                <c:pt idx="53">
                  <c:v>1590.42</c:v>
                </c:pt>
                <c:pt idx="54">
                  <c:v>1618.22</c:v>
                </c:pt>
                <c:pt idx="55">
                  <c:v>1646.57</c:v>
                </c:pt>
                <c:pt idx="56">
                  <c:v>1677.85</c:v>
                </c:pt>
                <c:pt idx="57">
                  <c:v>1703.44</c:v>
                </c:pt>
                <c:pt idx="58">
                  <c:v>1743.09</c:v>
                </c:pt>
                <c:pt idx="59">
                  <c:v>1771.74</c:v>
                </c:pt>
                <c:pt idx="60">
                  <c:v>1795.48</c:v>
                </c:pt>
                <c:pt idx="61">
                  <c:v>1829.03</c:v>
                </c:pt>
                <c:pt idx="62">
                  <c:v>1858.4</c:v>
                </c:pt>
                <c:pt idx="63">
                  <c:v>1891.52</c:v>
                </c:pt>
                <c:pt idx="64">
                  <c:v>1920.34</c:v>
                </c:pt>
                <c:pt idx="65">
                  <c:v>1946.44</c:v>
                </c:pt>
                <c:pt idx="66">
                  <c:v>1976.53</c:v>
                </c:pt>
                <c:pt idx="67">
                  <c:v>2008.76</c:v>
                </c:pt>
                <c:pt idx="68">
                  <c:v>2034.03</c:v>
                </c:pt>
                <c:pt idx="69">
                  <c:v>2066.5100000000002</c:v>
                </c:pt>
                <c:pt idx="70">
                  <c:v>2097.15</c:v>
                </c:pt>
                <c:pt idx="71">
                  <c:v>2128.2600000000002</c:v>
                </c:pt>
                <c:pt idx="72">
                  <c:v>2159.3200000000002</c:v>
                </c:pt>
                <c:pt idx="73">
                  <c:v>2188.87</c:v>
                </c:pt>
                <c:pt idx="74">
                  <c:v>2228.2800000000002</c:v>
                </c:pt>
                <c:pt idx="75">
                  <c:v>2253.21</c:v>
                </c:pt>
                <c:pt idx="76">
                  <c:v>2279.9499999999998</c:v>
                </c:pt>
                <c:pt idx="77">
                  <c:v>2311.2800000000002</c:v>
                </c:pt>
                <c:pt idx="78">
                  <c:v>2339.1799999999998</c:v>
                </c:pt>
                <c:pt idx="79">
                  <c:v>2370.27</c:v>
                </c:pt>
                <c:pt idx="80">
                  <c:v>2400.64</c:v>
                </c:pt>
                <c:pt idx="81">
                  <c:v>2428.2399999999998</c:v>
                </c:pt>
                <c:pt idx="82">
                  <c:v>2462.02</c:v>
                </c:pt>
                <c:pt idx="83">
                  <c:v>2490.48</c:v>
                </c:pt>
                <c:pt idx="84">
                  <c:v>2518.84</c:v>
                </c:pt>
                <c:pt idx="85">
                  <c:v>2548.92</c:v>
                </c:pt>
                <c:pt idx="86">
                  <c:v>2577.6999999999998</c:v>
                </c:pt>
                <c:pt idx="87">
                  <c:v>2609.9</c:v>
                </c:pt>
                <c:pt idx="88">
                  <c:v>2637.85</c:v>
                </c:pt>
                <c:pt idx="89">
                  <c:v>2671.66</c:v>
                </c:pt>
                <c:pt idx="90">
                  <c:v>2699.08</c:v>
                </c:pt>
                <c:pt idx="91">
                  <c:v>2730.6</c:v>
                </c:pt>
                <c:pt idx="92">
                  <c:v>2759.22</c:v>
                </c:pt>
                <c:pt idx="93">
                  <c:v>2788.54</c:v>
                </c:pt>
                <c:pt idx="94">
                  <c:v>2817.09</c:v>
                </c:pt>
                <c:pt idx="95">
                  <c:v>2847.85</c:v>
                </c:pt>
                <c:pt idx="96">
                  <c:v>2876.32</c:v>
                </c:pt>
                <c:pt idx="97">
                  <c:v>2908.98</c:v>
                </c:pt>
                <c:pt idx="98">
                  <c:v>2936.78</c:v>
                </c:pt>
                <c:pt idx="99">
                  <c:v>2970.16</c:v>
                </c:pt>
                <c:pt idx="100">
                  <c:v>2996.69</c:v>
                </c:pt>
                <c:pt idx="101">
                  <c:v>3029.6</c:v>
                </c:pt>
                <c:pt idx="102">
                  <c:v>3055.88</c:v>
                </c:pt>
                <c:pt idx="103">
                  <c:v>3087.86</c:v>
                </c:pt>
                <c:pt idx="104">
                  <c:v>3122.24</c:v>
                </c:pt>
                <c:pt idx="105">
                  <c:v>3151.44</c:v>
                </c:pt>
                <c:pt idx="106">
                  <c:v>3179.33</c:v>
                </c:pt>
              </c:numCache>
            </c:numRef>
          </c:xVal>
          <c:yVal>
            <c:numRef>
              <c:f>Hoja1!$J$117:$J$223</c:f>
              <c:numCache>
                <c:formatCode>General</c:formatCode>
                <c:ptCount val="107"/>
                <c:pt idx="0">
                  <c:v>40.299999999999997</c:v>
                </c:pt>
                <c:pt idx="1">
                  <c:v>39.5</c:v>
                </c:pt>
                <c:pt idx="2">
                  <c:v>37.1</c:v>
                </c:pt>
                <c:pt idx="3">
                  <c:v>34.6</c:v>
                </c:pt>
                <c:pt idx="4">
                  <c:v>27.1</c:v>
                </c:pt>
                <c:pt idx="5">
                  <c:v>23.6</c:v>
                </c:pt>
                <c:pt idx="6">
                  <c:v>22.4</c:v>
                </c:pt>
                <c:pt idx="7">
                  <c:v>22.9</c:v>
                </c:pt>
                <c:pt idx="8">
                  <c:v>25</c:v>
                </c:pt>
                <c:pt idx="9">
                  <c:v>28.9</c:v>
                </c:pt>
                <c:pt idx="10">
                  <c:v>34</c:v>
                </c:pt>
                <c:pt idx="11">
                  <c:v>41.2</c:v>
                </c:pt>
                <c:pt idx="12">
                  <c:v>48.4</c:v>
                </c:pt>
                <c:pt idx="13">
                  <c:v>54.1</c:v>
                </c:pt>
                <c:pt idx="14">
                  <c:v>57.2</c:v>
                </c:pt>
                <c:pt idx="15">
                  <c:v>57.8</c:v>
                </c:pt>
                <c:pt idx="16">
                  <c:v>56</c:v>
                </c:pt>
                <c:pt idx="17">
                  <c:v>52.8</c:v>
                </c:pt>
                <c:pt idx="18">
                  <c:v>49</c:v>
                </c:pt>
                <c:pt idx="19">
                  <c:v>44.8</c:v>
                </c:pt>
                <c:pt idx="20">
                  <c:v>40</c:v>
                </c:pt>
                <c:pt idx="21">
                  <c:v>35.1</c:v>
                </c:pt>
                <c:pt idx="22">
                  <c:v>30</c:v>
                </c:pt>
                <c:pt idx="23">
                  <c:v>27.1</c:v>
                </c:pt>
                <c:pt idx="24">
                  <c:v>26.5</c:v>
                </c:pt>
                <c:pt idx="25">
                  <c:v>28.8</c:v>
                </c:pt>
                <c:pt idx="26">
                  <c:v>34.5</c:v>
                </c:pt>
                <c:pt idx="27">
                  <c:v>39.5</c:v>
                </c:pt>
                <c:pt idx="28">
                  <c:v>44</c:v>
                </c:pt>
                <c:pt idx="29">
                  <c:v>48.6</c:v>
                </c:pt>
                <c:pt idx="30">
                  <c:v>52</c:v>
                </c:pt>
                <c:pt idx="31">
                  <c:v>54.7</c:v>
                </c:pt>
                <c:pt idx="32">
                  <c:v>55.6</c:v>
                </c:pt>
                <c:pt idx="33">
                  <c:v>54.8</c:v>
                </c:pt>
                <c:pt idx="34">
                  <c:v>51.5</c:v>
                </c:pt>
                <c:pt idx="35">
                  <c:v>46.8</c:v>
                </c:pt>
                <c:pt idx="36">
                  <c:v>41.5</c:v>
                </c:pt>
                <c:pt idx="37">
                  <c:v>36.299999999999997</c:v>
                </c:pt>
                <c:pt idx="38">
                  <c:v>32.700000000000003</c:v>
                </c:pt>
                <c:pt idx="39">
                  <c:v>30.5</c:v>
                </c:pt>
                <c:pt idx="40">
                  <c:v>29.7</c:v>
                </c:pt>
                <c:pt idx="41">
                  <c:v>30.2</c:v>
                </c:pt>
                <c:pt idx="42">
                  <c:v>32.700000000000003</c:v>
                </c:pt>
                <c:pt idx="43">
                  <c:v>36.5</c:v>
                </c:pt>
                <c:pt idx="44">
                  <c:v>40.6</c:v>
                </c:pt>
                <c:pt idx="45">
                  <c:v>45.6</c:v>
                </c:pt>
                <c:pt idx="46">
                  <c:v>50.3</c:v>
                </c:pt>
                <c:pt idx="47">
                  <c:v>53.2</c:v>
                </c:pt>
                <c:pt idx="48">
                  <c:v>54.1</c:v>
                </c:pt>
                <c:pt idx="49">
                  <c:v>53.6</c:v>
                </c:pt>
                <c:pt idx="50">
                  <c:v>51.3</c:v>
                </c:pt>
                <c:pt idx="51">
                  <c:v>47.8</c:v>
                </c:pt>
                <c:pt idx="52">
                  <c:v>44</c:v>
                </c:pt>
                <c:pt idx="53">
                  <c:v>39.6</c:v>
                </c:pt>
                <c:pt idx="54">
                  <c:v>36</c:v>
                </c:pt>
                <c:pt idx="55">
                  <c:v>33.1</c:v>
                </c:pt>
                <c:pt idx="56">
                  <c:v>31.1</c:v>
                </c:pt>
                <c:pt idx="57">
                  <c:v>30.7</c:v>
                </c:pt>
                <c:pt idx="58">
                  <c:v>32.9</c:v>
                </c:pt>
                <c:pt idx="59">
                  <c:v>35.9</c:v>
                </c:pt>
                <c:pt idx="60">
                  <c:v>39</c:v>
                </c:pt>
                <c:pt idx="61">
                  <c:v>43.5</c:v>
                </c:pt>
                <c:pt idx="62">
                  <c:v>47.4</c:v>
                </c:pt>
                <c:pt idx="63">
                  <c:v>50.6</c:v>
                </c:pt>
                <c:pt idx="64">
                  <c:v>52.1</c:v>
                </c:pt>
                <c:pt idx="65">
                  <c:v>52.5</c:v>
                </c:pt>
                <c:pt idx="66">
                  <c:v>51.4</c:v>
                </c:pt>
                <c:pt idx="67">
                  <c:v>48.8</c:v>
                </c:pt>
                <c:pt idx="68">
                  <c:v>46</c:v>
                </c:pt>
                <c:pt idx="69">
                  <c:v>41.6</c:v>
                </c:pt>
                <c:pt idx="70">
                  <c:v>37.9</c:v>
                </c:pt>
                <c:pt idx="71">
                  <c:v>34.700000000000003</c:v>
                </c:pt>
                <c:pt idx="72">
                  <c:v>33</c:v>
                </c:pt>
                <c:pt idx="73">
                  <c:v>32.5</c:v>
                </c:pt>
                <c:pt idx="74">
                  <c:v>34</c:v>
                </c:pt>
                <c:pt idx="75">
                  <c:v>35.700000000000003</c:v>
                </c:pt>
                <c:pt idx="76">
                  <c:v>38.5</c:v>
                </c:pt>
                <c:pt idx="77">
                  <c:v>42.1</c:v>
                </c:pt>
                <c:pt idx="78">
                  <c:v>45.4</c:v>
                </c:pt>
                <c:pt idx="79">
                  <c:v>48.7</c:v>
                </c:pt>
                <c:pt idx="80">
                  <c:v>50.6</c:v>
                </c:pt>
                <c:pt idx="81">
                  <c:v>51.4</c:v>
                </c:pt>
                <c:pt idx="82">
                  <c:v>50.7</c:v>
                </c:pt>
                <c:pt idx="83">
                  <c:v>49</c:v>
                </c:pt>
                <c:pt idx="84">
                  <c:v>46.4</c:v>
                </c:pt>
                <c:pt idx="85">
                  <c:v>43.3</c:v>
                </c:pt>
                <c:pt idx="86">
                  <c:v>40</c:v>
                </c:pt>
                <c:pt idx="87">
                  <c:v>37</c:v>
                </c:pt>
                <c:pt idx="88">
                  <c:v>35</c:v>
                </c:pt>
                <c:pt idx="89">
                  <c:v>33.700000000000003</c:v>
                </c:pt>
                <c:pt idx="90">
                  <c:v>33.799999999999997</c:v>
                </c:pt>
                <c:pt idx="91">
                  <c:v>35.299999999999997</c:v>
                </c:pt>
                <c:pt idx="92">
                  <c:v>37.6</c:v>
                </c:pt>
                <c:pt idx="93">
                  <c:v>40.5</c:v>
                </c:pt>
                <c:pt idx="94">
                  <c:v>43.4</c:v>
                </c:pt>
                <c:pt idx="95">
                  <c:v>46.3</c:v>
                </c:pt>
                <c:pt idx="96">
                  <c:v>48.4</c:v>
                </c:pt>
                <c:pt idx="97">
                  <c:v>49.9</c:v>
                </c:pt>
                <c:pt idx="98">
                  <c:v>50.2</c:v>
                </c:pt>
                <c:pt idx="99">
                  <c:v>49.3</c:v>
                </c:pt>
                <c:pt idx="100">
                  <c:v>47.5</c:v>
                </c:pt>
                <c:pt idx="101">
                  <c:v>44.6</c:v>
                </c:pt>
                <c:pt idx="102">
                  <c:v>42</c:v>
                </c:pt>
                <c:pt idx="103">
                  <c:v>39</c:v>
                </c:pt>
                <c:pt idx="104">
                  <c:v>36.6</c:v>
                </c:pt>
                <c:pt idx="105">
                  <c:v>35.1</c:v>
                </c:pt>
                <c:pt idx="106">
                  <c:v>34.700000000000003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5-4268-94D5-A7F8F925F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566664"/>
        <c:axId val="387167239"/>
      </c:scatterChart>
      <c:valAx>
        <c:axId val="177856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67239"/>
        <c:crosses val="autoZero"/>
        <c:crossBetween val="midCat"/>
      </c:valAx>
      <c:valAx>
        <c:axId val="387167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66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Hoja1!$V$6:$V$11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Hoja1!$AA$6:$AA$11</c:f>
              <c:numCache>
                <c:formatCode>General</c:formatCode>
                <c:ptCount val="6"/>
                <c:pt idx="0">
                  <c:v>-2.8807208172495242</c:v>
                </c:pt>
                <c:pt idx="1">
                  <c:v>-3.0766944632118061</c:v>
                </c:pt>
                <c:pt idx="2">
                  <c:v>-3.2528495050900972</c:v>
                </c:pt>
                <c:pt idx="3">
                  <c:v>-3.36552266759421</c:v>
                </c:pt>
                <c:pt idx="4">
                  <c:v>-3.5082707153236568</c:v>
                </c:pt>
                <c:pt idx="5">
                  <c:v>-3.6440722564827182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8E-4200-8722-0673EEA14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970311"/>
        <c:axId val="1370150407"/>
      </c:scatterChart>
      <c:valAx>
        <c:axId val="1063970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150407"/>
        <c:crosses val="autoZero"/>
        <c:crossBetween val="midCat"/>
      </c:valAx>
      <c:valAx>
        <c:axId val="1370150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970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218</xdr:row>
      <xdr:rowOff>66675</xdr:rowOff>
    </xdr:from>
    <xdr:to>
      <xdr:col>18</xdr:col>
      <xdr:colOff>533400</xdr:colOff>
      <xdr:row>232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5860CA-2532-C40C-9435-7D71686E8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314325</xdr:colOff>
      <xdr:row>24</xdr:row>
      <xdr:rowOff>28575</xdr:rowOff>
    </xdr:from>
    <xdr:to>
      <xdr:col>25</xdr:col>
      <xdr:colOff>219075</xdr:colOff>
      <xdr:row>38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33D67A0-1565-3F5F-22BD-A25BB68495CD}"/>
            </a:ext>
            <a:ext uri="{147F2762-F138-4A5C-976F-8EAC2B608ADB}">
              <a16:predDERef xmlns:a16="http://schemas.microsoft.com/office/drawing/2014/main" pred="{055860CA-2532-C40C-9435-7D71686E8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A223"/>
  <sheetViews>
    <sheetView tabSelected="1" topLeftCell="H26" workbookViewId="0">
      <selection activeCell="C4" sqref="C4:D110"/>
    </sheetView>
  </sheetViews>
  <sheetFormatPr defaultRowHeight="15"/>
  <cols>
    <col min="24" max="24" width="12.7109375" bestFit="1" customWidth="1"/>
    <col min="25" max="25" width="11.5703125" bestFit="1" customWidth="1"/>
    <col min="27" max="27" width="19.85546875" bestFit="1" customWidth="1"/>
    <col min="30" max="30" width="11.5703125" bestFit="1" customWidth="1"/>
  </cols>
  <sheetData>
    <row r="3" spans="3:27">
      <c r="O3">
        <f>O4*100</f>
        <v>315.54000000000002</v>
      </c>
    </row>
    <row r="4" spans="3:27">
      <c r="C4">
        <v>0</v>
      </c>
      <c r="D4">
        <f>H4/(2*315.54)</f>
        <v>6.3858781770932363E-2</v>
      </c>
      <c r="E4">
        <v>0</v>
      </c>
      <c r="G4">
        <v>0</v>
      </c>
      <c r="H4">
        <v>40.299999999999997</v>
      </c>
      <c r="J4" s="2">
        <f>E4*60+G4</f>
        <v>0</v>
      </c>
      <c r="N4" s="6" t="s">
        <v>0</v>
      </c>
      <c r="O4">
        <v>3.1554000000000002</v>
      </c>
      <c r="P4" t="s">
        <v>1</v>
      </c>
    </row>
    <row r="5" spans="3:27">
      <c r="C5">
        <v>33.47</v>
      </c>
      <c r="D5">
        <f t="shared" ref="D5:D68" si="0">H5/(2*315.54)</f>
        <v>6.2591113646447358E-2</v>
      </c>
      <c r="E5">
        <v>0</v>
      </c>
      <c r="G5">
        <v>33.47</v>
      </c>
      <c r="H5">
        <v>39.5</v>
      </c>
      <c r="J5" s="2">
        <f t="shared" ref="J5:J68" si="1">E5*60+G5</f>
        <v>33.47</v>
      </c>
      <c r="N5" s="6" t="s">
        <v>2</v>
      </c>
      <c r="O5">
        <v>1.5</v>
      </c>
      <c r="P5">
        <v>2.0000000000000001E-4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8</v>
      </c>
    </row>
    <row r="6" spans="3:27">
      <c r="C6">
        <v>67.3</v>
      </c>
      <c r="D6">
        <f t="shared" si="0"/>
        <v>5.8788109272992328E-2</v>
      </c>
      <c r="E6">
        <v>1</v>
      </c>
      <c r="G6">
        <v>7.3</v>
      </c>
      <c r="H6">
        <v>37.1</v>
      </c>
      <c r="J6" s="2">
        <f t="shared" si="1"/>
        <v>67.3</v>
      </c>
      <c r="N6" s="6" t="s">
        <v>9</v>
      </c>
      <c r="O6">
        <v>3.8300000000000001E-2</v>
      </c>
      <c r="P6">
        <v>2.0000000000000001E-4</v>
      </c>
      <c r="V6">
        <v>0</v>
      </c>
      <c r="W6">
        <v>22.4</v>
      </c>
      <c r="X6">
        <v>182.16</v>
      </c>
      <c r="Y6">
        <v>57.8</v>
      </c>
      <c r="Z6">
        <v>442.54</v>
      </c>
      <c r="AA6">
        <f>LN((Y6-W6)/(2*O3))</f>
        <v>-2.8807208172495242</v>
      </c>
    </row>
    <row r="7" spans="3:27">
      <c r="C7">
        <v>96.72</v>
      </c>
      <c r="D7">
        <f t="shared" si="0"/>
        <v>5.4826646383976677E-2</v>
      </c>
      <c r="E7">
        <v>1</v>
      </c>
      <c r="G7">
        <v>36.72</v>
      </c>
      <c r="H7">
        <v>34.6</v>
      </c>
      <c r="J7" s="2">
        <f t="shared" si="1"/>
        <v>96.72</v>
      </c>
      <c r="N7" s="6" t="s">
        <v>10</v>
      </c>
      <c r="O7">
        <v>0.05</v>
      </c>
      <c r="P7">
        <v>1E-4</v>
      </c>
      <c r="V7">
        <v>1</v>
      </c>
      <c r="W7">
        <v>26.5</v>
      </c>
      <c r="X7">
        <v>712.58</v>
      </c>
      <c r="Y7">
        <v>55.6</v>
      </c>
      <c r="Z7">
        <v>950.2</v>
      </c>
      <c r="AA7">
        <f>LN((Y7-W7)/(2*O3))</f>
        <v>-3.0766944632118061</v>
      </c>
    </row>
    <row r="8" spans="3:27">
      <c r="C8">
        <v>125.33</v>
      </c>
      <c r="D8">
        <f t="shared" si="0"/>
        <v>4.2942257716929708E-2</v>
      </c>
      <c r="E8">
        <v>2</v>
      </c>
      <c r="G8">
        <v>5.33</v>
      </c>
      <c r="H8">
        <v>27.1</v>
      </c>
      <c r="J8" s="2">
        <f t="shared" si="1"/>
        <v>125.33</v>
      </c>
      <c r="N8" s="6" t="s">
        <v>11</v>
      </c>
      <c r="O8">
        <v>4.2200000000000001E-2</v>
      </c>
      <c r="P8">
        <v>1E-4</v>
      </c>
      <c r="V8">
        <v>2</v>
      </c>
      <c r="W8">
        <v>29.7</v>
      </c>
      <c r="X8">
        <v>1186.1500000000001</v>
      </c>
      <c r="Y8">
        <v>54.1</v>
      </c>
      <c r="Z8">
        <v>1426.5</v>
      </c>
      <c r="AA8">
        <f>LN((Y8-W8)/(2*O3))</f>
        <v>-3.2528495050900972</v>
      </c>
    </row>
    <row r="9" spans="3:27">
      <c r="C9">
        <v>153.46</v>
      </c>
      <c r="D9">
        <f t="shared" si="0"/>
        <v>3.7396209672307792E-2</v>
      </c>
      <c r="E9">
        <v>2</v>
      </c>
      <c r="G9">
        <v>33.46</v>
      </c>
      <c r="H9">
        <v>23.6</v>
      </c>
      <c r="J9" s="2">
        <f t="shared" si="1"/>
        <v>153.46</v>
      </c>
      <c r="N9" s="6" t="s">
        <v>12</v>
      </c>
      <c r="O9">
        <v>9.5499999999999995E-3</v>
      </c>
      <c r="P9">
        <v>1.0000000000000001E-5</v>
      </c>
      <c r="V9">
        <v>3</v>
      </c>
      <c r="W9">
        <v>30.7</v>
      </c>
      <c r="X9">
        <v>1703.44</v>
      </c>
      <c r="Y9">
        <v>52.5</v>
      </c>
      <c r="Z9">
        <v>1946.44</v>
      </c>
      <c r="AA9">
        <f>LN((Y9-W9)/(2*O3))</f>
        <v>-3.36552266759421</v>
      </c>
    </row>
    <row r="10" spans="3:27">
      <c r="C10">
        <v>182.16</v>
      </c>
      <c r="D10">
        <f t="shared" si="0"/>
        <v>3.5494707485580271E-2</v>
      </c>
      <c r="E10">
        <v>3</v>
      </c>
      <c r="G10">
        <v>2.16</v>
      </c>
      <c r="H10" s="1">
        <v>22.4</v>
      </c>
      <c r="I10" t="s">
        <v>13</v>
      </c>
      <c r="J10" s="2">
        <f t="shared" si="1"/>
        <v>182.16</v>
      </c>
      <c r="N10" s="6" t="s">
        <v>14</v>
      </c>
      <c r="O10">
        <v>1.14E-2</v>
      </c>
      <c r="V10">
        <v>4</v>
      </c>
      <c r="W10">
        <v>32.5</v>
      </c>
      <c r="X10">
        <v>2188.87</v>
      </c>
      <c r="Y10">
        <v>51.4</v>
      </c>
      <c r="Z10" s="2">
        <f t="shared" ref="Z10:AA10" si="2">U10*60+W10</f>
        <v>32.5</v>
      </c>
      <c r="AA10">
        <f>LN((Y10-W10)/(2*O3))</f>
        <v>-3.5082707153236568</v>
      </c>
    </row>
    <row r="11" spans="3:27">
      <c r="C11">
        <v>212.17000000000002</v>
      </c>
      <c r="D11">
        <f t="shared" si="0"/>
        <v>3.6287000063383403E-2</v>
      </c>
      <c r="E11">
        <v>3</v>
      </c>
      <c r="G11">
        <v>32.17</v>
      </c>
      <c r="H11">
        <v>22.9</v>
      </c>
      <c r="J11" s="2">
        <f t="shared" si="1"/>
        <v>212.17000000000002</v>
      </c>
      <c r="N11" s="6" t="s">
        <v>15</v>
      </c>
      <c r="O11">
        <v>5.0000000000000001E-3</v>
      </c>
      <c r="P11">
        <v>0.03</v>
      </c>
      <c r="V11">
        <v>5</v>
      </c>
      <c r="W11">
        <v>33.700000000000003</v>
      </c>
      <c r="X11">
        <v>2671.66</v>
      </c>
      <c r="Y11">
        <v>50.2</v>
      </c>
      <c r="Z11">
        <v>2936.78</v>
      </c>
      <c r="AA11">
        <f>LN((Y11-W11)/(2*O3))</f>
        <v>-3.6440722564827182</v>
      </c>
    </row>
    <row r="12" spans="3:27">
      <c r="C12">
        <v>241.37</v>
      </c>
      <c r="D12">
        <f t="shared" si="0"/>
        <v>3.9614628890156552E-2</v>
      </c>
      <c r="E12">
        <v>4</v>
      </c>
      <c r="G12">
        <v>1.37</v>
      </c>
      <c r="H12">
        <v>25</v>
      </c>
      <c r="J12" s="2">
        <f t="shared" si="1"/>
        <v>241.37</v>
      </c>
      <c r="N12" s="6" t="s">
        <v>16</v>
      </c>
      <c r="O12">
        <f>O11/O6</f>
        <v>0.13054830287206268</v>
      </c>
    </row>
    <row r="13" spans="3:27">
      <c r="C13">
        <v>270.26</v>
      </c>
      <c r="D13">
        <f t="shared" si="0"/>
        <v>4.5794510997020976E-2</v>
      </c>
      <c r="E13">
        <v>4</v>
      </c>
      <c r="G13">
        <v>30.26</v>
      </c>
      <c r="H13">
        <v>28.9</v>
      </c>
      <c r="J13" s="2">
        <f t="shared" si="1"/>
        <v>270.26</v>
      </c>
      <c r="N13" s="6" t="s">
        <v>17</v>
      </c>
      <c r="O13">
        <f>(O9/O7)^2</f>
        <v>3.6480999999999993E-2</v>
      </c>
    </row>
    <row r="14" spans="3:27">
      <c r="C14">
        <v>299.01</v>
      </c>
      <c r="D14">
        <f t="shared" si="0"/>
        <v>5.3875895290612916E-2</v>
      </c>
      <c r="E14">
        <v>4</v>
      </c>
      <c r="G14">
        <v>59.01</v>
      </c>
      <c r="H14">
        <v>34</v>
      </c>
      <c r="J14" s="2">
        <f t="shared" si="1"/>
        <v>299.01</v>
      </c>
    </row>
    <row r="15" spans="3:27">
      <c r="C15">
        <v>332.21</v>
      </c>
      <c r="D15">
        <f t="shared" si="0"/>
        <v>6.5284908410978004E-2</v>
      </c>
      <c r="E15">
        <v>5</v>
      </c>
      <c r="G15">
        <v>32.21</v>
      </c>
      <c r="H15">
        <v>41.2</v>
      </c>
      <c r="J15" s="2">
        <f t="shared" si="1"/>
        <v>332.21</v>
      </c>
    </row>
    <row r="16" spans="3:27">
      <c r="C16">
        <v>360.59</v>
      </c>
      <c r="D16">
        <f t="shared" si="0"/>
        <v>7.6693921531343093E-2</v>
      </c>
      <c r="E16">
        <v>6</v>
      </c>
      <c r="G16">
        <v>0.59</v>
      </c>
      <c r="H16">
        <v>48.4</v>
      </c>
      <c r="J16" s="2">
        <f t="shared" si="1"/>
        <v>360.59</v>
      </c>
    </row>
    <row r="17" spans="3:27">
      <c r="C17">
        <v>391.08</v>
      </c>
      <c r="D17">
        <f t="shared" si="0"/>
        <v>8.5726056918298779E-2</v>
      </c>
      <c r="E17">
        <v>6</v>
      </c>
      <c r="G17">
        <v>31.08</v>
      </c>
      <c r="H17">
        <v>54.1</v>
      </c>
      <c r="J17" s="2">
        <f t="shared" si="1"/>
        <v>391.08</v>
      </c>
      <c r="W17" t="s">
        <v>18</v>
      </c>
      <c r="X17" t="s">
        <v>19</v>
      </c>
    </row>
    <row r="18" spans="3:27">
      <c r="C18">
        <v>420.57</v>
      </c>
      <c r="D18">
        <f t="shared" si="0"/>
        <v>9.0638270900678206E-2</v>
      </c>
      <c r="E18">
        <v>7</v>
      </c>
      <c r="G18">
        <v>0.56999999999999995</v>
      </c>
      <c r="H18">
        <v>57.2</v>
      </c>
      <c r="J18" s="2">
        <f t="shared" si="1"/>
        <v>420.57</v>
      </c>
      <c r="T18">
        <v>-2.9148675100000001</v>
      </c>
      <c r="W18" t="s">
        <v>20</v>
      </c>
      <c r="X18">
        <v>-2.9148675100000001</v>
      </c>
      <c r="Y18">
        <v>2.0454380000000001E-2</v>
      </c>
      <c r="Z18" s="6" t="s">
        <v>21</v>
      </c>
      <c r="AA18" s="4">
        <f>EXP(X18)/(1+EXP(X19/2))</f>
        <v>2.8116594455692982E-2</v>
      </c>
    </row>
    <row r="19" spans="3:27">
      <c r="C19">
        <v>442.54</v>
      </c>
      <c r="D19">
        <f t="shared" si="0"/>
        <v>9.1589021994041953E-2</v>
      </c>
      <c r="E19">
        <v>7</v>
      </c>
      <c r="G19">
        <v>22.54</v>
      </c>
      <c r="H19">
        <v>57.8</v>
      </c>
      <c r="I19" t="s">
        <v>22</v>
      </c>
      <c r="J19" s="2">
        <f t="shared" si="1"/>
        <v>442.54</v>
      </c>
      <c r="T19">
        <v>-0.14926169</v>
      </c>
      <c r="W19" t="s">
        <v>23</v>
      </c>
      <c r="X19">
        <v>-0.14926169</v>
      </c>
      <c r="Y19">
        <v>6.7558599999999998E-3</v>
      </c>
      <c r="Z19" s="6" t="s">
        <v>24</v>
      </c>
      <c r="AA19">
        <f>-2*X19</f>
        <v>0.29852338</v>
      </c>
    </row>
    <row r="20" spans="3:27">
      <c r="C20">
        <v>476.64</v>
      </c>
      <c r="D20">
        <f t="shared" si="0"/>
        <v>8.8736768713950684E-2</v>
      </c>
      <c r="E20">
        <v>7</v>
      </c>
      <c r="G20">
        <v>56.64</v>
      </c>
      <c r="H20">
        <v>56</v>
      </c>
      <c r="J20" s="2">
        <f t="shared" si="1"/>
        <v>476.64</v>
      </c>
      <c r="Z20" s="5" t="s">
        <v>25</v>
      </c>
      <c r="AA20">
        <f>(Z11-X6)/5.5</f>
        <v>500.84000000000009</v>
      </c>
    </row>
    <row r="21" spans="3:27">
      <c r="C21">
        <v>507.38</v>
      </c>
      <c r="D21">
        <f t="shared" si="0"/>
        <v>8.3666096216010635E-2</v>
      </c>
      <c r="E21">
        <v>8</v>
      </c>
      <c r="G21">
        <v>27.38</v>
      </c>
      <c r="H21">
        <v>52.8</v>
      </c>
      <c r="J21" s="2">
        <f t="shared" si="1"/>
        <v>507.38</v>
      </c>
      <c r="Z21" s="5" t="s">
        <v>26</v>
      </c>
      <c r="AA21">
        <f>AA19/AA20</f>
        <v>5.9604540372174735E-4</v>
      </c>
    </row>
    <row r="22" spans="3:27">
      <c r="C22">
        <v>536.66</v>
      </c>
      <c r="D22">
        <f t="shared" si="0"/>
        <v>7.7644672624706854E-2</v>
      </c>
      <c r="E22">
        <v>8</v>
      </c>
      <c r="G22">
        <v>56.66</v>
      </c>
      <c r="H22">
        <v>49</v>
      </c>
      <c r="J22" s="2">
        <f t="shared" si="1"/>
        <v>536.66</v>
      </c>
    </row>
    <row r="23" spans="3:27">
      <c r="C23">
        <v>564.54999999999995</v>
      </c>
      <c r="D23">
        <f t="shared" si="0"/>
        <v>7.0989414971160542E-2</v>
      </c>
      <c r="E23">
        <v>9</v>
      </c>
      <c r="G23">
        <v>24.55</v>
      </c>
      <c r="H23">
        <v>44.8</v>
      </c>
      <c r="J23" s="2">
        <f t="shared" si="1"/>
        <v>564.54999999999995</v>
      </c>
    </row>
    <row r="24" spans="3:27">
      <c r="C24">
        <v>592.33000000000004</v>
      </c>
      <c r="D24">
        <f t="shared" si="0"/>
        <v>6.3383406224250483E-2</v>
      </c>
      <c r="E24">
        <v>9</v>
      </c>
      <c r="G24">
        <v>52.33</v>
      </c>
      <c r="H24">
        <v>40</v>
      </c>
      <c r="J24" s="2">
        <f t="shared" si="1"/>
        <v>592.33000000000004</v>
      </c>
    </row>
    <row r="25" spans="3:27">
      <c r="C25">
        <v>619.86</v>
      </c>
      <c r="D25">
        <f t="shared" si="0"/>
        <v>5.5618938961779801E-2</v>
      </c>
      <c r="E25">
        <v>10</v>
      </c>
      <c r="G25">
        <v>19.86</v>
      </c>
      <c r="H25">
        <v>35.1</v>
      </c>
      <c r="J25" s="2">
        <f t="shared" si="1"/>
        <v>619.86</v>
      </c>
      <c r="X25" s="3"/>
    </row>
    <row r="26" spans="3:27">
      <c r="C26">
        <v>650.86</v>
      </c>
      <c r="D26">
        <f t="shared" si="0"/>
        <v>4.7537554668187862E-2</v>
      </c>
      <c r="E26">
        <v>10</v>
      </c>
      <c r="G26">
        <v>50.86</v>
      </c>
      <c r="H26">
        <v>30</v>
      </c>
      <c r="J26" s="2">
        <f t="shared" si="1"/>
        <v>650.86</v>
      </c>
      <c r="M26" s="6" t="s">
        <v>27</v>
      </c>
      <c r="N26">
        <f>(O8)^3/((O8)^2+4*(O7)^2)^(3/2)</f>
        <v>5.8772337831158858E-2</v>
      </c>
    </row>
    <row r="27" spans="3:27">
      <c r="C27">
        <v>679.15</v>
      </c>
      <c r="D27">
        <f t="shared" si="0"/>
        <v>4.2942257716929708E-2</v>
      </c>
      <c r="E27">
        <v>11</v>
      </c>
      <c r="G27">
        <v>19.149999999999999</v>
      </c>
      <c r="H27">
        <v>27.1</v>
      </c>
      <c r="J27" s="2">
        <f t="shared" si="1"/>
        <v>679.15</v>
      </c>
      <c r="M27" s="6" t="s">
        <v>28</v>
      </c>
      <c r="N27">
        <f>1+O12/(6*(1+(2/5)*O13))</f>
        <v>1.0214451147856787</v>
      </c>
    </row>
    <row r="28" spans="3:27">
      <c r="C28">
        <v>712.58</v>
      </c>
      <c r="D28">
        <f t="shared" si="0"/>
        <v>4.1991506623565947E-2</v>
      </c>
      <c r="E28">
        <v>11</v>
      </c>
      <c r="G28">
        <v>52.58</v>
      </c>
      <c r="H28">
        <v>26.5</v>
      </c>
      <c r="I28" t="s">
        <v>13</v>
      </c>
      <c r="J28" s="2">
        <f t="shared" si="1"/>
        <v>712.58</v>
      </c>
      <c r="M28" s="6" t="s">
        <v>29</v>
      </c>
      <c r="N28">
        <f>1+ (AA21*AA20)^2/(16*PI()^2)</f>
        <v>1.0005643349823423</v>
      </c>
    </row>
    <row r="29" spans="3:27">
      <c r="C29">
        <v>748.21</v>
      </c>
      <c r="D29">
        <f t="shared" si="0"/>
        <v>4.5636052481460354E-2</v>
      </c>
      <c r="E29">
        <v>12</v>
      </c>
      <c r="G29">
        <v>28.21</v>
      </c>
      <c r="H29">
        <v>28.8</v>
      </c>
      <c r="J29" s="2">
        <f t="shared" si="1"/>
        <v>748.21</v>
      </c>
    </row>
    <row r="30" spans="3:27">
      <c r="C30">
        <v>780.7</v>
      </c>
      <c r="D30">
        <f t="shared" si="0"/>
        <v>5.4668187868416047E-2</v>
      </c>
      <c r="E30">
        <v>13</v>
      </c>
      <c r="G30">
        <v>0.7</v>
      </c>
      <c r="H30">
        <v>34.5</v>
      </c>
      <c r="J30" s="2">
        <f t="shared" si="1"/>
        <v>780.7</v>
      </c>
    </row>
    <row r="31" spans="3:27">
      <c r="C31">
        <v>809.5</v>
      </c>
      <c r="D31">
        <f t="shared" si="0"/>
        <v>6.2591113646447358E-2</v>
      </c>
      <c r="E31">
        <v>13</v>
      </c>
      <c r="G31">
        <v>29.5</v>
      </c>
      <c r="H31">
        <v>39.5</v>
      </c>
      <c r="J31" s="2">
        <f t="shared" si="1"/>
        <v>809.5</v>
      </c>
      <c r="M31" t="s">
        <v>30</v>
      </c>
      <c r="N31">
        <f>((AA18/AA20^2)*((4*PI()^2*(O7^2+2/5*O9^2)*O8^2)/(O5*O7*(1-N26))))*N27*N28</f>
        <v>2.8939102868906975E-10</v>
      </c>
    </row>
    <row r="32" spans="3:27">
      <c r="C32">
        <v>837.05</v>
      </c>
      <c r="D32">
        <f t="shared" si="0"/>
        <v>6.9721746846675536E-2</v>
      </c>
      <c r="E32">
        <v>13</v>
      </c>
      <c r="G32">
        <v>57.05</v>
      </c>
      <c r="H32">
        <v>44</v>
      </c>
      <c r="J32" s="2">
        <f t="shared" si="1"/>
        <v>837.05</v>
      </c>
    </row>
    <row r="33" spans="3:10">
      <c r="C33">
        <v>868.52</v>
      </c>
      <c r="D33">
        <f t="shared" si="0"/>
        <v>7.7010838562464351E-2</v>
      </c>
      <c r="E33">
        <v>14</v>
      </c>
      <c r="G33">
        <v>28.52</v>
      </c>
      <c r="H33">
        <v>48.6</v>
      </c>
      <c r="J33" s="2">
        <f t="shared" si="1"/>
        <v>868.52</v>
      </c>
    </row>
    <row r="34" spans="3:10">
      <c r="C34">
        <v>897.66</v>
      </c>
      <c r="D34">
        <f t="shared" si="0"/>
        <v>8.239842809152563E-2</v>
      </c>
      <c r="E34">
        <v>14</v>
      </c>
      <c r="G34">
        <v>57.66</v>
      </c>
      <c r="H34">
        <v>52</v>
      </c>
      <c r="J34" s="2">
        <f t="shared" si="1"/>
        <v>897.66</v>
      </c>
    </row>
    <row r="35" spans="3:10">
      <c r="C35">
        <v>929.34</v>
      </c>
      <c r="D35">
        <f t="shared" si="0"/>
        <v>8.667680801166254E-2</v>
      </c>
      <c r="E35">
        <v>15</v>
      </c>
      <c r="G35">
        <v>29.34</v>
      </c>
      <c r="H35">
        <v>54.7</v>
      </c>
      <c r="J35" s="2">
        <f t="shared" si="1"/>
        <v>929.34</v>
      </c>
    </row>
    <row r="36" spans="3:10">
      <c r="C36">
        <v>950.2</v>
      </c>
      <c r="D36">
        <f t="shared" si="0"/>
        <v>8.8102934651708181E-2</v>
      </c>
      <c r="E36">
        <v>15</v>
      </c>
      <c r="G36">
        <v>50.2</v>
      </c>
      <c r="H36">
        <v>55.6</v>
      </c>
      <c r="I36" t="s">
        <v>22</v>
      </c>
      <c r="J36" s="2">
        <f t="shared" si="1"/>
        <v>950.2</v>
      </c>
    </row>
    <row r="37" spans="3:10">
      <c r="C37">
        <v>986.76</v>
      </c>
      <c r="D37">
        <f t="shared" si="0"/>
        <v>8.6835266527223162E-2</v>
      </c>
      <c r="E37">
        <v>16</v>
      </c>
      <c r="G37">
        <v>26.76</v>
      </c>
      <c r="H37">
        <v>54.8</v>
      </c>
      <c r="J37" s="2">
        <f t="shared" si="1"/>
        <v>986.76</v>
      </c>
    </row>
    <row r="38" spans="3:10">
      <c r="C38">
        <v>1016.75</v>
      </c>
      <c r="D38">
        <f t="shared" si="0"/>
        <v>8.1606135513722505E-2</v>
      </c>
      <c r="E38">
        <v>16</v>
      </c>
      <c r="G38">
        <v>56.75</v>
      </c>
      <c r="H38">
        <v>51.5</v>
      </c>
      <c r="J38" s="2">
        <f t="shared" si="1"/>
        <v>1016.75</v>
      </c>
    </row>
    <row r="39" spans="3:10">
      <c r="C39">
        <v>1046.8699999999999</v>
      </c>
      <c r="D39">
        <f t="shared" si="0"/>
        <v>7.4158585282373068E-2</v>
      </c>
      <c r="E39">
        <v>17</v>
      </c>
      <c r="G39">
        <v>26.87</v>
      </c>
      <c r="H39">
        <v>46.8</v>
      </c>
      <c r="J39" s="2">
        <f t="shared" si="1"/>
        <v>1046.8699999999999</v>
      </c>
    </row>
    <row r="40" spans="3:10">
      <c r="C40">
        <v>1075.25</v>
      </c>
      <c r="D40">
        <f t="shared" si="0"/>
        <v>6.5760283957659885E-2</v>
      </c>
      <c r="E40">
        <v>17</v>
      </c>
      <c r="G40">
        <v>55.25</v>
      </c>
      <c r="H40">
        <v>41.5</v>
      </c>
      <c r="J40" s="2">
        <f t="shared" si="1"/>
        <v>1075.25</v>
      </c>
    </row>
    <row r="41" spans="3:10">
      <c r="C41">
        <v>1106.26</v>
      </c>
      <c r="D41">
        <f t="shared" si="0"/>
        <v>5.7520441148507309E-2</v>
      </c>
      <c r="E41">
        <v>18</v>
      </c>
      <c r="G41">
        <v>26.26</v>
      </c>
      <c r="H41">
        <v>36.299999999999997</v>
      </c>
      <c r="J41" s="2">
        <f t="shared" si="1"/>
        <v>1106.26</v>
      </c>
    </row>
    <row r="42" spans="3:10">
      <c r="C42">
        <v>1134.51</v>
      </c>
      <c r="D42">
        <f t="shared" si="0"/>
        <v>5.1815934588324779E-2</v>
      </c>
      <c r="E42">
        <v>18</v>
      </c>
      <c r="G42">
        <v>54.51</v>
      </c>
      <c r="H42">
        <v>32.700000000000003</v>
      </c>
      <c r="J42" s="2">
        <f t="shared" si="1"/>
        <v>1134.51</v>
      </c>
    </row>
    <row r="43" spans="3:10">
      <c r="C43">
        <v>1163.05</v>
      </c>
      <c r="D43">
        <f t="shared" si="0"/>
        <v>4.8329847245990994E-2</v>
      </c>
      <c r="E43">
        <v>19</v>
      </c>
      <c r="G43">
        <v>23.05</v>
      </c>
      <c r="H43">
        <v>30.5</v>
      </c>
      <c r="J43" s="2">
        <f t="shared" si="1"/>
        <v>1163.05</v>
      </c>
    </row>
    <row r="44" spans="3:10">
      <c r="C44">
        <v>1186.1500000000001</v>
      </c>
      <c r="D44">
        <f t="shared" si="0"/>
        <v>4.7062179121505988E-2</v>
      </c>
      <c r="E44">
        <v>19</v>
      </c>
      <c r="G44">
        <v>46.15</v>
      </c>
      <c r="H44">
        <v>29.7</v>
      </c>
      <c r="I44" t="s">
        <v>13</v>
      </c>
      <c r="J44" s="2">
        <f t="shared" si="1"/>
        <v>1186.1500000000001</v>
      </c>
    </row>
    <row r="45" spans="3:10">
      <c r="C45">
        <v>1222.01</v>
      </c>
      <c r="D45">
        <f t="shared" si="0"/>
        <v>4.7854471699309113E-2</v>
      </c>
      <c r="E45">
        <v>20</v>
      </c>
      <c r="G45">
        <v>22.01</v>
      </c>
      <c r="H45">
        <v>30.2</v>
      </c>
      <c r="J45" s="2">
        <f t="shared" si="1"/>
        <v>1222.01</v>
      </c>
    </row>
    <row r="46" spans="3:10">
      <c r="C46">
        <v>1257.8800000000001</v>
      </c>
      <c r="D46">
        <f t="shared" si="0"/>
        <v>5.1815934588324779E-2</v>
      </c>
      <c r="E46">
        <v>20</v>
      </c>
      <c r="G46">
        <v>57.88</v>
      </c>
      <c r="H46">
        <v>32.700000000000003</v>
      </c>
      <c r="J46" s="2">
        <f t="shared" si="1"/>
        <v>1257.8800000000001</v>
      </c>
    </row>
    <row r="47" spans="3:10">
      <c r="C47">
        <v>1288.78</v>
      </c>
      <c r="D47">
        <f t="shared" si="0"/>
        <v>5.7837358179628567E-2</v>
      </c>
      <c r="E47">
        <v>21</v>
      </c>
      <c r="G47">
        <v>28.78</v>
      </c>
      <c r="H47">
        <v>36.5</v>
      </c>
      <c r="J47" s="2">
        <f t="shared" si="1"/>
        <v>1288.78</v>
      </c>
    </row>
    <row r="48" spans="3:10">
      <c r="C48">
        <v>1316.46</v>
      </c>
      <c r="D48">
        <f t="shared" si="0"/>
        <v>6.4334157317614243E-2</v>
      </c>
      <c r="E48">
        <v>21</v>
      </c>
      <c r="G48">
        <v>56.46</v>
      </c>
      <c r="H48">
        <v>40.6</v>
      </c>
      <c r="J48" s="2">
        <f t="shared" si="1"/>
        <v>1316.46</v>
      </c>
    </row>
    <row r="49" spans="3:10">
      <c r="C49">
        <v>1347.15</v>
      </c>
      <c r="D49">
        <f t="shared" si="0"/>
        <v>7.2257083095645561E-2</v>
      </c>
      <c r="E49">
        <v>22</v>
      </c>
      <c r="G49">
        <v>27.15</v>
      </c>
      <c r="H49">
        <v>45.6</v>
      </c>
      <c r="J49" s="2">
        <f t="shared" si="1"/>
        <v>1347.15</v>
      </c>
    </row>
    <row r="50" spans="3:10">
      <c r="C50">
        <v>1380.2</v>
      </c>
      <c r="D50">
        <f t="shared" si="0"/>
        <v>7.9704633326994984E-2</v>
      </c>
      <c r="E50">
        <v>23</v>
      </c>
      <c r="G50">
        <v>0.2</v>
      </c>
      <c r="H50">
        <v>50.3</v>
      </c>
      <c r="J50" s="2">
        <f t="shared" si="1"/>
        <v>1380.2</v>
      </c>
    </row>
    <row r="51" spans="3:10">
      <c r="C51">
        <v>1410.17</v>
      </c>
      <c r="D51">
        <f t="shared" si="0"/>
        <v>8.4299930278253152E-2</v>
      </c>
      <c r="E51">
        <v>23</v>
      </c>
      <c r="G51">
        <v>30.17</v>
      </c>
      <c r="H51">
        <v>53.2</v>
      </c>
      <c r="J51" s="2">
        <f t="shared" si="1"/>
        <v>1410.17</v>
      </c>
    </row>
    <row r="52" spans="3:10">
      <c r="C52">
        <v>1426.5</v>
      </c>
      <c r="D52">
        <f t="shared" si="0"/>
        <v>8.5726056918298779E-2</v>
      </c>
      <c r="E52">
        <v>23</v>
      </c>
      <c r="G52">
        <v>46.5</v>
      </c>
      <c r="H52">
        <v>54.1</v>
      </c>
      <c r="I52" t="s">
        <v>22</v>
      </c>
      <c r="J52" s="2">
        <f t="shared" si="1"/>
        <v>1426.5</v>
      </c>
    </row>
    <row r="53" spans="3:10">
      <c r="C53">
        <v>1464.85</v>
      </c>
      <c r="D53">
        <f t="shared" si="0"/>
        <v>8.4933764340495654E-2</v>
      </c>
      <c r="E53">
        <v>24</v>
      </c>
      <c r="G53">
        <v>24.85</v>
      </c>
      <c r="H53">
        <v>53.6</v>
      </c>
      <c r="J53" s="2">
        <f t="shared" si="1"/>
        <v>1464.85</v>
      </c>
    </row>
    <row r="54" spans="3:10">
      <c r="C54">
        <v>1499.3</v>
      </c>
      <c r="D54">
        <f t="shared" si="0"/>
        <v>8.1289218482601247E-2</v>
      </c>
      <c r="E54">
        <v>24</v>
      </c>
      <c r="G54">
        <v>59.3</v>
      </c>
      <c r="H54">
        <v>51.3</v>
      </c>
      <c r="J54" s="2">
        <f t="shared" si="1"/>
        <v>1499.3</v>
      </c>
    </row>
    <row r="55" spans="3:10">
      <c r="C55">
        <v>1530.31</v>
      </c>
      <c r="D55">
        <f t="shared" si="0"/>
        <v>7.5743170437979332E-2</v>
      </c>
      <c r="E55">
        <v>25</v>
      </c>
      <c r="G55">
        <v>30.31</v>
      </c>
      <c r="H55">
        <v>47.8</v>
      </c>
      <c r="J55" s="2">
        <f t="shared" si="1"/>
        <v>1530.31</v>
      </c>
    </row>
    <row r="56" spans="3:10">
      <c r="C56">
        <v>1557.99</v>
      </c>
      <c r="D56">
        <f t="shared" si="0"/>
        <v>6.9721746846675536E-2</v>
      </c>
      <c r="E56">
        <v>25</v>
      </c>
      <c r="G56">
        <v>57.99</v>
      </c>
      <c r="H56">
        <v>44</v>
      </c>
      <c r="J56" s="2">
        <f t="shared" si="1"/>
        <v>1557.99</v>
      </c>
    </row>
    <row r="57" spans="3:10">
      <c r="C57">
        <v>1590.42</v>
      </c>
      <c r="D57">
        <f t="shared" si="0"/>
        <v>6.274957216200798E-2</v>
      </c>
      <c r="E57">
        <v>26</v>
      </c>
      <c r="G57">
        <v>30.42</v>
      </c>
      <c r="H57">
        <v>39.6</v>
      </c>
      <c r="J57" s="2">
        <f t="shared" si="1"/>
        <v>1590.42</v>
      </c>
    </row>
    <row r="58" spans="3:10">
      <c r="C58">
        <v>1618.22</v>
      </c>
      <c r="D58">
        <f t="shared" si="0"/>
        <v>5.7045065601825436E-2</v>
      </c>
      <c r="E58">
        <v>26</v>
      </c>
      <c r="G58">
        <v>58.22</v>
      </c>
      <c r="H58">
        <v>36</v>
      </c>
      <c r="J58" s="2">
        <f t="shared" si="1"/>
        <v>1618.22</v>
      </c>
    </row>
    <row r="59" spans="3:10">
      <c r="C59">
        <v>1646.57</v>
      </c>
      <c r="D59">
        <f t="shared" si="0"/>
        <v>5.2449768650567281E-2</v>
      </c>
      <c r="E59">
        <v>27</v>
      </c>
      <c r="G59">
        <v>26.57</v>
      </c>
      <c r="H59">
        <v>33.1</v>
      </c>
      <c r="J59" s="2">
        <f t="shared" si="1"/>
        <v>1646.57</v>
      </c>
    </row>
    <row r="60" spans="3:10">
      <c r="C60">
        <v>1677.85</v>
      </c>
      <c r="D60">
        <f t="shared" si="0"/>
        <v>4.9280598339354754E-2</v>
      </c>
      <c r="E60">
        <v>27</v>
      </c>
      <c r="G60">
        <v>57.85</v>
      </c>
      <c r="H60">
        <v>31.1</v>
      </c>
      <c r="J60" s="2">
        <f t="shared" si="1"/>
        <v>1677.85</v>
      </c>
    </row>
    <row r="61" spans="3:10">
      <c r="C61">
        <v>1703.44</v>
      </c>
      <c r="D61">
        <f t="shared" si="0"/>
        <v>4.8646764277112245E-2</v>
      </c>
      <c r="E61">
        <v>28</v>
      </c>
      <c r="G61">
        <v>23.44</v>
      </c>
      <c r="H61">
        <v>30.7</v>
      </c>
      <c r="I61" t="s">
        <v>13</v>
      </c>
      <c r="J61" s="2">
        <f t="shared" si="1"/>
        <v>1703.44</v>
      </c>
    </row>
    <row r="62" spans="3:10">
      <c r="C62">
        <v>1743.09</v>
      </c>
      <c r="D62">
        <f t="shared" si="0"/>
        <v>5.2132851619446023E-2</v>
      </c>
      <c r="E62">
        <v>29</v>
      </c>
      <c r="G62">
        <v>3.09</v>
      </c>
      <c r="H62">
        <v>32.9</v>
      </c>
      <c r="J62" s="2">
        <f t="shared" si="1"/>
        <v>1743.09</v>
      </c>
    </row>
    <row r="63" spans="3:10">
      <c r="C63">
        <v>1771.74</v>
      </c>
      <c r="D63">
        <f t="shared" si="0"/>
        <v>5.6886607086264807E-2</v>
      </c>
      <c r="E63">
        <v>29</v>
      </c>
      <c r="G63">
        <v>31.74</v>
      </c>
      <c r="H63">
        <v>35.9</v>
      </c>
      <c r="J63" s="2">
        <f t="shared" si="1"/>
        <v>1771.74</v>
      </c>
    </row>
    <row r="64" spans="3:10">
      <c r="C64">
        <v>1795.48</v>
      </c>
      <c r="D64">
        <f t="shared" si="0"/>
        <v>6.1798821068644226E-2</v>
      </c>
      <c r="E64">
        <v>29</v>
      </c>
      <c r="G64">
        <v>55.48</v>
      </c>
      <c r="H64">
        <v>39</v>
      </c>
      <c r="J64" s="2">
        <f t="shared" si="1"/>
        <v>1795.48</v>
      </c>
    </row>
    <row r="65" spans="3:10">
      <c r="C65">
        <v>1829.03</v>
      </c>
      <c r="D65">
        <f t="shared" si="0"/>
        <v>6.8929454268872412E-2</v>
      </c>
      <c r="E65">
        <v>30</v>
      </c>
      <c r="G65">
        <v>29.03</v>
      </c>
      <c r="H65">
        <v>43.5</v>
      </c>
      <c r="J65" s="2">
        <f t="shared" si="1"/>
        <v>1829.03</v>
      </c>
    </row>
    <row r="66" spans="3:10">
      <c r="C66">
        <v>1858.4</v>
      </c>
      <c r="D66">
        <f t="shared" si="0"/>
        <v>7.5109336375736829E-2</v>
      </c>
      <c r="E66">
        <v>30</v>
      </c>
      <c r="G66">
        <v>58.4</v>
      </c>
      <c r="H66">
        <v>47.4</v>
      </c>
      <c r="J66" s="2">
        <f t="shared" si="1"/>
        <v>1858.4</v>
      </c>
    </row>
    <row r="67" spans="3:10">
      <c r="C67">
        <v>1891.52</v>
      </c>
      <c r="D67">
        <f t="shared" si="0"/>
        <v>8.0180008873676864E-2</v>
      </c>
      <c r="E67">
        <v>31</v>
      </c>
      <c r="G67">
        <v>31.52</v>
      </c>
      <c r="H67">
        <v>50.6</v>
      </c>
      <c r="J67" s="2">
        <f t="shared" si="1"/>
        <v>1891.52</v>
      </c>
    </row>
    <row r="68" spans="3:10">
      <c r="C68">
        <v>1920.34</v>
      </c>
      <c r="D68">
        <f t="shared" si="0"/>
        <v>8.2556886607086266E-2</v>
      </c>
      <c r="E68">
        <v>32</v>
      </c>
      <c r="G68">
        <v>0.34</v>
      </c>
      <c r="H68">
        <v>52.1</v>
      </c>
      <c r="J68" s="2">
        <f t="shared" si="1"/>
        <v>1920.34</v>
      </c>
    </row>
    <row r="69" spans="3:10">
      <c r="C69">
        <v>1946.44</v>
      </c>
      <c r="D69">
        <f t="shared" ref="D69:D110" si="3">H69/(2*315.54)</f>
        <v>8.3190720669328769E-2</v>
      </c>
      <c r="E69">
        <v>32</v>
      </c>
      <c r="G69">
        <v>26.44</v>
      </c>
      <c r="H69">
        <v>52.5</v>
      </c>
      <c r="I69" t="s">
        <v>22</v>
      </c>
      <c r="J69" s="2">
        <f t="shared" ref="J69:J110" si="4">E69*60+G69</f>
        <v>1946.44</v>
      </c>
    </row>
    <row r="70" spans="3:10">
      <c r="C70">
        <v>1976.53</v>
      </c>
      <c r="D70">
        <f t="shared" si="3"/>
        <v>8.1447676998161869E-2</v>
      </c>
      <c r="E70">
        <v>32</v>
      </c>
      <c r="G70">
        <v>56.53</v>
      </c>
      <c r="H70">
        <v>51.4</v>
      </c>
      <c r="J70" s="2">
        <f t="shared" si="4"/>
        <v>1976.53</v>
      </c>
    </row>
    <row r="71" spans="3:10">
      <c r="C71">
        <v>2008.76</v>
      </c>
      <c r="D71">
        <f t="shared" si="3"/>
        <v>7.7327755593585595E-2</v>
      </c>
      <c r="E71">
        <v>33</v>
      </c>
      <c r="G71">
        <v>28.76</v>
      </c>
      <c r="H71">
        <v>48.8</v>
      </c>
      <c r="J71" s="2">
        <f t="shared" si="4"/>
        <v>2008.76</v>
      </c>
    </row>
    <row r="72" spans="3:10">
      <c r="C72">
        <v>2034.03</v>
      </c>
      <c r="D72">
        <f t="shared" si="3"/>
        <v>7.2890917157888063E-2</v>
      </c>
      <c r="E72">
        <v>33</v>
      </c>
      <c r="G72">
        <v>54.03</v>
      </c>
      <c r="H72">
        <v>46</v>
      </c>
      <c r="J72" s="2">
        <f t="shared" si="4"/>
        <v>2034.03</v>
      </c>
    </row>
    <row r="73" spans="3:10">
      <c r="C73">
        <v>2066.5100000000002</v>
      </c>
      <c r="D73">
        <f t="shared" si="3"/>
        <v>6.5918742473220507E-2</v>
      </c>
      <c r="E73">
        <v>34</v>
      </c>
      <c r="G73">
        <v>26.51</v>
      </c>
      <c r="H73">
        <v>41.6</v>
      </c>
      <c r="J73" s="2">
        <f t="shared" si="4"/>
        <v>2066.5100000000002</v>
      </c>
    </row>
    <row r="74" spans="3:10">
      <c r="C74">
        <v>2097.15</v>
      </c>
      <c r="D74">
        <f t="shared" si="3"/>
        <v>6.0055777397477333E-2</v>
      </c>
      <c r="E74">
        <v>34</v>
      </c>
      <c r="G74">
        <v>57.15</v>
      </c>
      <c r="H74">
        <v>37.9</v>
      </c>
      <c r="J74" s="2">
        <f t="shared" si="4"/>
        <v>2097.15</v>
      </c>
    </row>
    <row r="75" spans="3:10">
      <c r="C75">
        <v>2128.2600000000002</v>
      </c>
      <c r="D75">
        <f t="shared" si="3"/>
        <v>5.4985104899537299E-2</v>
      </c>
      <c r="E75">
        <v>35</v>
      </c>
      <c r="G75">
        <v>28.26</v>
      </c>
      <c r="H75">
        <v>34.700000000000003</v>
      </c>
      <c r="J75" s="2">
        <f t="shared" si="4"/>
        <v>2128.2600000000002</v>
      </c>
    </row>
    <row r="76" spans="3:10">
      <c r="C76">
        <v>2159.3200000000002</v>
      </c>
      <c r="D76">
        <f t="shared" si="3"/>
        <v>5.2291310135006652E-2</v>
      </c>
      <c r="E76">
        <v>35</v>
      </c>
      <c r="G76">
        <v>59.32</v>
      </c>
      <c r="H76">
        <v>33</v>
      </c>
      <c r="J76" s="2">
        <f t="shared" si="4"/>
        <v>2159.3200000000002</v>
      </c>
    </row>
    <row r="77" spans="3:10">
      <c r="C77">
        <v>2188.87</v>
      </c>
      <c r="D77">
        <f t="shared" si="3"/>
        <v>5.1499017557203521E-2</v>
      </c>
      <c r="E77">
        <v>36</v>
      </c>
      <c r="G77">
        <v>28.87</v>
      </c>
      <c r="H77">
        <v>32.5</v>
      </c>
      <c r="I77" t="s">
        <v>13</v>
      </c>
      <c r="J77" s="2">
        <f t="shared" si="4"/>
        <v>2188.87</v>
      </c>
    </row>
    <row r="78" spans="3:10">
      <c r="C78">
        <v>2228.2800000000002</v>
      </c>
      <c r="D78">
        <f t="shared" si="3"/>
        <v>5.3875895290612916E-2</v>
      </c>
      <c r="E78">
        <v>37</v>
      </c>
      <c r="G78">
        <v>8.2799999999999994</v>
      </c>
      <c r="H78">
        <v>34</v>
      </c>
      <c r="J78" s="2">
        <f t="shared" si="4"/>
        <v>2228.2800000000002</v>
      </c>
    </row>
    <row r="79" spans="3:10">
      <c r="C79">
        <v>2253.21</v>
      </c>
      <c r="D79">
        <f t="shared" si="3"/>
        <v>5.6569690055143562E-2</v>
      </c>
      <c r="E79">
        <v>37</v>
      </c>
      <c r="G79">
        <v>33.21</v>
      </c>
      <c r="H79">
        <v>35.700000000000003</v>
      </c>
      <c r="J79" s="2">
        <f t="shared" si="4"/>
        <v>2253.21</v>
      </c>
    </row>
    <row r="80" spans="3:10">
      <c r="C80">
        <v>2279.9499999999998</v>
      </c>
      <c r="D80">
        <f t="shared" si="3"/>
        <v>6.1006528490841094E-2</v>
      </c>
      <c r="E80">
        <v>37</v>
      </c>
      <c r="G80">
        <v>59.95</v>
      </c>
      <c r="H80">
        <v>38.5</v>
      </c>
      <c r="J80" s="2">
        <f t="shared" si="4"/>
        <v>2279.9499999999998</v>
      </c>
    </row>
    <row r="81" spans="3:10">
      <c r="C81">
        <v>2311.2800000000002</v>
      </c>
      <c r="D81">
        <f t="shared" si="3"/>
        <v>6.6711035051023646E-2</v>
      </c>
      <c r="E81">
        <v>38</v>
      </c>
      <c r="G81">
        <v>31.28</v>
      </c>
      <c r="H81">
        <v>42.1</v>
      </c>
      <c r="J81" s="2">
        <f t="shared" si="4"/>
        <v>2311.2800000000002</v>
      </c>
    </row>
    <row r="82" spans="3:10">
      <c r="C82">
        <v>2339.1799999999998</v>
      </c>
      <c r="D82">
        <f t="shared" si="3"/>
        <v>7.1940166064524302E-2</v>
      </c>
      <c r="E82">
        <v>38</v>
      </c>
      <c r="G82">
        <v>59.18</v>
      </c>
      <c r="H82">
        <v>45.4</v>
      </c>
      <c r="J82" s="2">
        <f t="shared" si="4"/>
        <v>2339.1799999999998</v>
      </c>
    </row>
    <row r="83" spans="3:10">
      <c r="C83">
        <v>2370.27</v>
      </c>
      <c r="D83">
        <f t="shared" si="3"/>
        <v>7.7169297078024973E-2</v>
      </c>
      <c r="E83">
        <v>39</v>
      </c>
      <c r="G83">
        <v>30.27</v>
      </c>
      <c r="H83">
        <v>48.7</v>
      </c>
      <c r="J83" s="2">
        <f t="shared" si="4"/>
        <v>2370.27</v>
      </c>
    </row>
    <row r="84" spans="3:10">
      <c r="C84">
        <v>2400.64</v>
      </c>
      <c r="D84">
        <f t="shared" si="3"/>
        <v>8.0180008873676864E-2</v>
      </c>
      <c r="E84">
        <v>40</v>
      </c>
      <c r="G84">
        <v>0.64</v>
      </c>
      <c r="H84">
        <v>50.6</v>
      </c>
      <c r="J84" s="2">
        <f t="shared" si="4"/>
        <v>2400.64</v>
      </c>
    </row>
    <row r="85" spans="3:10">
      <c r="C85">
        <v>2428.2399999999998</v>
      </c>
      <c r="D85">
        <f t="shared" si="3"/>
        <v>8.1447676998161869E-2</v>
      </c>
      <c r="E85">
        <v>40</v>
      </c>
      <c r="G85">
        <v>28.24</v>
      </c>
      <c r="H85">
        <v>51.4</v>
      </c>
      <c r="I85" t="s">
        <v>22</v>
      </c>
      <c r="J85" s="2">
        <f t="shared" si="4"/>
        <v>2428.2399999999998</v>
      </c>
    </row>
    <row r="86" spans="3:10">
      <c r="C86">
        <v>2462.02</v>
      </c>
      <c r="D86">
        <f t="shared" si="3"/>
        <v>8.03384673892375E-2</v>
      </c>
      <c r="E86">
        <v>41</v>
      </c>
      <c r="G86">
        <v>2.02</v>
      </c>
      <c r="H86">
        <v>50.7</v>
      </c>
      <c r="J86" s="2">
        <f t="shared" si="4"/>
        <v>2462.02</v>
      </c>
    </row>
    <row r="87" spans="3:10">
      <c r="C87">
        <v>2490.48</v>
      </c>
      <c r="D87">
        <f t="shared" si="3"/>
        <v>7.7644672624706854E-2</v>
      </c>
      <c r="E87">
        <v>41</v>
      </c>
      <c r="G87">
        <v>30.48</v>
      </c>
      <c r="H87">
        <v>49</v>
      </c>
      <c r="J87" s="2">
        <f t="shared" si="4"/>
        <v>2490.48</v>
      </c>
    </row>
    <row r="88" spans="3:10">
      <c r="C88">
        <v>2518.84</v>
      </c>
      <c r="D88">
        <f t="shared" si="3"/>
        <v>7.3524751220130566E-2</v>
      </c>
      <c r="E88">
        <v>41</v>
      </c>
      <c r="G88">
        <v>58.84</v>
      </c>
      <c r="H88">
        <v>46.4</v>
      </c>
      <c r="J88" s="2">
        <f t="shared" si="4"/>
        <v>2518.84</v>
      </c>
    </row>
    <row r="89" spans="3:10">
      <c r="C89">
        <v>2548.92</v>
      </c>
      <c r="D89">
        <f t="shared" si="3"/>
        <v>6.8612537237751153E-2</v>
      </c>
      <c r="E89">
        <v>42</v>
      </c>
      <c r="G89">
        <v>28.92</v>
      </c>
      <c r="H89">
        <v>43.3</v>
      </c>
      <c r="J89" s="2">
        <f t="shared" si="4"/>
        <v>2548.92</v>
      </c>
    </row>
    <row r="90" spans="3:10">
      <c r="C90">
        <v>2577.6999999999998</v>
      </c>
      <c r="D90">
        <f t="shared" si="3"/>
        <v>6.3383406224250483E-2</v>
      </c>
      <c r="E90">
        <v>42</v>
      </c>
      <c r="G90">
        <v>57.7</v>
      </c>
      <c r="H90">
        <v>40</v>
      </c>
      <c r="J90" s="2">
        <f t="shared" si="4"/>
        <v>2577.6999999999998</v>
      </c>
    </row>
    <row r="91" spans="3:10">
      <c r="C91">
        <v>2609.9</v>
      </c>
      <c r="D91">
        <f t="shared" si="3"/>
        <v>5.8629650757431699E-2</v>
      </c>
      <c r="E91">
        <v>43</v>
      </c>
      <c r="G91">
        <v>29.9</v>
      </c>
      <c r="H91">
        <v>37</v>
      </c>
      <c r="J91" s="2">
        <f t="shared" si="4"/>
        <v>2609.9</v>
      </c>
    </row>
    <row r="92" spans="3:10">
      <c r="C92">
        <v>2637.85</v>
      </c>
      <c r="D92">
        <f t="shared" si="3"/>
        <v>5.5460480446219179E-2</v>
      </c>
      <c r="E92">
        <v>43</v>
      </c>
      <c r="G92">
        <v>57.85</v>
      </c>
      <c r="H92">
        <v>35</v>
      </c>
      <c r="J92" s="2">
        <f t="shared" si="4"/>
        <v>2637.85</v>
      </c>
    </row>
    <row r="93" spans="3:10">
      <c r="C93">
        <v>2671.66</v>
      </c>
      <c r="D93">
        <f t="shared" si="3"/>
        <v>5.3400519743931042E-2</v>
      </c>
      <c r="E93">
        <v>44</v>
      </c>
      <c r="G93">
        <v>31.66</v>
      </c>
      <c r="H93">
        <v>33.700000000000003</v>
      </c>
      <c r="I93" t="s">
        <v>13</v>
      </c>
      <c r="J93" s="2">
        <f t="shared" si="4"/>
        <v>2671.66</v>
      </c>
    </row>
    <row r="94" spans="3:10">
      <c r="C94">
        <v>2699.08</v>
      </c>
      <c r="D94">
        <f t="shared" si="3"/>
        <v>5.3558978259491657E-2</v>
      </c>
      <c r="E94">
        <v>44</v>
      </c>
      <c r="G94">
        <v>59.08</v>
      </c>
      <c r="H94">
        <v>33.799999999999997</v>
      </c>
      <c r="J94" s="2">
        <f t="shared" si="4"/>
        <v>2699.08</v>
      </c>
    </row>
    <row r="95" spans="3:10">
      <c r="C95">
        <v>2730.6</v>
      </c>
      <c r="D95">
        <f t="shared" si="3"/>
        <v>5.5935855992901053E-2</v>
      </c>
      <c r="E95">
        <v>45</v>
      </c>
      <c r="G95">
        <v>30.6</v>
      </c>
      <c r="H95">
        <v>35.299999999999997</v>
      </c>
      <c r="J95" s="2">
        <f t="shared" si="4"/>
        <v>2730.6</v>
      </c>
    </row>
    <row r="96" spans="3:10">
      <c r="C96">
        <v>2759.22</v>
      </c>
      <c r="D96">
        <f t="shared" si="3"/>
        <v>5.958040185079546E-2</v>
      </c>
      <c r="E96">
        <v>45</v>
      </c>
      <c r="G96">
        <v>59.22</v>
      </c>
      <c r="H96">
        <v>37.6</v>
      </c>
      <c r="J96" s="2">
        <f t="shared" si="4"/>
        <v>2759.22</v>
      </c>
    </row>
    <row r="97" spans="3:10">
      <c r="C97">
        <v>2788.54</v>
      </c>
      <c r="D97">
        <f t="shared" si="3"/>
        <v>6.4175698802053621E-2</v>
      </c>
      <c r="E97">
        <v>46</v>
      </c>
      <c r="G97">
        <v>28.54</v>
      </c>
      <c r="H97">
        <v>40.5</v>
      </c>
      <c r="J97" s="2">
        <f t="shared" si="4"/>
        <v>2788.54</v>
      </c>
    </row>
    <row r="98" spans="3:10">
      <c r="C98">
        <v>2817.09</v>
      </c>
      <c r="D98">
        <f t="shared" si="3"/>
        <v>6.8770995753311776E-2</v>
      </c>
      <c r="E98">
        <v>46</v>
      </c>
      <c r="G98">
        <v>57.09</v>
      </c>
      <c r="H98">
        <v>43.4</v>
      </c>
      <c r="J98" s="2">
        <f t="shared" si="4"/>
        <v>2817.09</v>
      </c>
    </row>
    <row r="99" spans="3:10">
      <c r="C99">
        <v>2847.85</v>
      </c>
      <c r="D99">
        <f t="shared" si="3"/>
        <v>7.336629270456993E-2</v>
      </c>
      <c r="E99">
        <v>47</v>
      </c>
      <c r="G99">
        <v>27.85</v>
      </c>
      <c r="H99">
        <v>46.3</v>
      </c>
      <c r="J99" s="2">
        <f t="shared" si="4"/>
        <v>2847.85</v>
      </c>
    </row>
    <row r="100" spans="3:10">
      <c r="C100">
        <v>2876.32</v>
      </c>
      <c r="D100">
        <f t="shared" si="3"/>
        <v>7.6693921531343093E-2</v>
      </c>
      <c r="E100">
        <v>47</v>
      </c>
      <c r="G100">
        <v>56.32</v>
      </c>
      <c r="H100">
        <v>48.4</v>
      </c>
      <c r="J100" s="2">
        <f t="shared" si="4"/>
        <v>2876.32</v>
      </c>
    </row>
    <row r="101" spans="3:10">
      <c r="C101">
        <v>2908.98</v>
      </c>
      <c r="D101">
        <f t="shared" si="3"/>
        <v>7.9070799264752481E-2</v>
      </c>
      <c r="E101">
        <v>48</v>
      </c>
      <c r="G101">
        <v>28.98</v>
      </c>
      <c r="H101">
        <v>49.9</v>
      </c>
      <c r="J101" s="2">
        <f t="shared" si="4"/>
        <v>2908.98</v>
      </c>
    </row>
    <row r="102" spans="3:10">
      <c r="C102">
        <v>2936.78</v>
      </c>
      <c r="D102">
        <f t="shared" si="3"/>
        <v>7.9546174811434361E-2</v>
      </c>
      <c r="E102">
        <v>48</v>
      </c>
      <c r="G102">
        <v>56.78</v>
      </c>
      <c r="H102">
        <v>50.2</v>
      </c>
      <c r="I102" t="s">
        <v>22</v>
      </c>
      <c r="J102" s="2">
        <f t="shared" si="4"/>
        <v>2936.78</v>
      </c>
    </row>
    <row r="103" spans="3:10">
      <c r="C103">
        <v>2970.16</v>
      </c>
      <c r="D103">
        <f t="shared" si="3"/>
        <v>7.812004817138872E-2</v>
      </c>
      <c r="E103">
        <v>49</v>
      </c>
      <c r="G103">
        <v>30.16</v>
      </c>
      <c r="H103">
        <v>49.3</v>
      </c>
      <c r="J103" s="2">
        <f t="shared" si="4"/>
        <v>2970.16</v>
      </c>
    </row>
    <row r="104" spans="3:10">
      <c r="C104">
        <v>2996.69</v>
      </c>
      <c r="D104">
        <f t="shared" si="3"/>
        <v>7.5267794891297451E-2</v>
      </c>
      <c r="E104">
        <v>49</v>
      </c>
      <c r="G104">
        <v>56.69</v>
      </c>
      <c r="H104">
        <v>47.5</v>
      </c>
      <c r="J104" s="2">
        <f t="shared" si="4"/>
        <v>2996.69</v>
      </c>
    </row>
    <row r="105" spans="3:10">
      <c r="C105">
        <v>3029.6</v>
      </c>
      <c r="D105">
        <f t="shared" si="3"/>
        <v>7.0672497940039297E-2</v>
      </c>
      <c r="E105">
        <v>50</v>
      </c>
      <c r="G105">
        <v>29.6</v>
      </c>
      <c r="H105">
        <v>44.6</v>
      </c>
      <c r="J105" s="2">
        <f t="shared" si="4"/>
        <v>3029.6</v>
      </c>
    </row>
    <row r="106" spans="3:10">
      <c r="C106">
        <v>3055.88</v>
      </c>
      <c r="D106">
        <f t="shared" si="3"/>
        <v>6.6552576535463009E-2</v>
      </c>
      <c r="E106">
        <v>50</v>
      </c>
      <c r="G106">
        <v>55.88</v>
      </c>
      <c r="H106">
        <v>42</v>
      </c>
      <c r="J106" s="2">
        <f t="shared" si="4"/>
        <v>3055.88</v>
      </c>
    </row>
    <row r="107" spans="3:10">
      <c r="C107">
        <v>3087.86</v>
      </c>
      <c r="D107">
        <f t="shared" si="3"/>
        <v>6.1798821068644226E-2</v>
      </c>
      <c r="E107">
        <v>51</v>
      </c>
      <c r="G107">
        <v>27.86</v>
      </c>
      <c r="H107">
        <v>39</v>
      </c>
      <c r="J107" s="2">
        <f t="shared" si="4"/>
        <v>3087.86</v>
      </c>
    </row>
    <row r="108" spans="3:10">
      <c r="C108">
        <v>3122.24</v>
      </c>
      <c r="D108">
        <f t="shared" si="3"/>
        <v>5.7995816695189197E-2</v>
      </c>
      <c r="E108">
        <v>52</v>
      </c>
      <c r="G108">
        <v>2.2400000000000002</v>
      </c>
      <c r="H108">
        <v>36.6</v>
      </c>
      <c r="J108" s="2">
        <f t="shared" si="4"/>
        <v>3122.24</v>
      </c>
    </row>
    <row r="109" spans="3:10">
      <c r="C109">
        <v>3151.44</v>
      </c>
      <c r="D109">
        <f t="shared" si="3"/>
        <v>5.5618938961779801E-2</v>
      </c>
      <c r="E109">
        <v>52</v>
      </c>
      <c r="G109">
        <v>31.44</v>
      </c>
      <c r="H109">
        <v>35.1</v>
      </c>
      <c r="J109" s="2">
        <f t="shared" si="4"/>
        <v>3151.44</v>
      </c>
    </row>
    <row r="110" spans="3:10">
      <c r="C110">
        <v>3179.33</v>
      </c>
      <c r="D110">
        <f t="shared" si="3"/>
        <v>5.4985104899537299E-2</v>
      </c>
      <c r="E110">
        <v>52</v>
      </c>
      <c r="G110">
        <v>59.33</v>
      </c>
      <c r="H110">
        <v>34.700000000000003</v>
      </c>
      <c r="J110" s="2">
        <f t="shared" si="4"/>
        <v>3179.33</v>
      </c>
    </row>
    <row r="117" spans="9:10">
      <c r="I117">
        <v>0</v>
      </c>
      <c r="J117">
        <v>40.299999999999997</v>
      </c>
    </row>
    <row r="118" spans="9:10">
      <c r="I118">
        <v>33.47</v>
      </c>
      <c r="J118">
        <v>39.5</v>
      </c>
    </row>
    <row r="119" spans="9:10">
      <c r="I119">
        <v>67.3</v>
      </c>
      <c r="J119">
        <v>37.1</v>
      </c>
    </row>
    <row r="120" spans="9:10">
      <c r="I120">
        <v>96.72</v>
      </c>
      <c r="J120">
        <v>34.6</v>
      </c>
    </row>
    <row r="121" spans="9:10">
      <c r="I121">
        <v>125.33</v>
      </c>
      <c r="J121">
        <v>27.1</v>
      </c>
    </row>
    <row r="122" spans="9:10">
      <c r="I122">
        <v>153.46</v>
      </c>
      <c r="J122">
        <v>23.6</v>
      </c>
    </row>
    <row r="123" spans="9:10">
      <c r="I123">
        <v>182.16</v>
      </c>
      <c r="J123">
        <v>22.4</v>
      </c>
    </row>
    <row r="124" spans="9:10">
      <c r="I124">
        <v>212.17000000000002</v>
      </c>
      <c r="J124">
        <v>22.9</v>
      </c>
    </row>
    <row r="125" spans="9:10">
      <c r="I125">
        <v>241.37</v>
      </c>
      <c r="J125">
        <v>25</v>
      </c>
    </row>
    <row r="126" spans="9:10">
      <c r="I126">
        <v>270.26</v>
      </c>
      <c r="J126">
        <v>28.9</v>
      </c>
    </row>
    <row r="127" spans="9:10">
      <c r="I127">
        <v>299.01</v>
      </c>
      <c r="J127">
        <v>34</v>
      </c>
    </row>
    <row r="128" spans="9:10">
      <c r="I128">
        <v>332.21</v>
      </c>
      <c r="J128">
        <v>41.2</v>
      </c>
    </row>
    <row r="129" spans="9:10">
      <c r="I129">
        <v>360.59</v>
      </c>
      <c r="J129">
        <v>48.4</v>
      </c>
    </row>
    <row r="130" spans="9:10">
      <c r="I130">
        <v>391.08</v>
      </c>
      <c r="J130">
        <v>54.1</v>
      </c>
    </row>
    <row r="131" spans="9:10">
      <c r="I131">
        <v>420.57</v>
      </c>
      <c r="J131">
        <v>57.2</v>
      </c>
    </row>
    <row r="132" spans="9:10">
      <c r="I132">
        <v>442.54</v>
      </c>
      <c r="J132">
        <v>57.8</v>
      </c>
    </row>
    <row r="133" spans="9:10">
      <c r="I133">
        <v>476.64</v>
      </c>
      <c r="J133">
        <v>56</v>
      </c>
    </row>
    <row r="134" spans="9:10">
      <c r="I134">
        <v>507.38</v>
      </c>
      <c r="J134">
        <v>52.8</v>
      </c>
    </row>
    <row r="135" spans="9:10">
      <c r="I135">
        <v>536.66</v>
      </c>
      <c r="J135">
        <v>49</v>
      </c>
    </row>
    <row r="136" spans="9:10">
      <c r="I136">
        <v>564.54999999999995</v>
      </c>
      <c r="J136">
        <v>44.8</v>
      </c>
    </row>
    <row r="137" spans="9:10">
      <c r="I137">
        <v>592.33000000000004</v>
      </c>
      <c r="J137">
        <v>40</v>
      </c>
    </row>
    <row r="138" spans="9:10">
      <c r="I138">
        <v>619.86</v>
      </c>
      <c r="J138">
        <v>35.1</v>
      </c>
    </row>
    <row r="139" spans="9:10">
      <c r="I139">
        <v>650.86</v>
      </c>
      <c r="J139">
        <v>30</v>
      </c>
    </row>
    <row r="140" spans="9:10">
      <c r="I140">
        <v>679.15</v>
      </c>
      <c r="J140">
        <v>27.1</v>
      </c>
    </row>
    <row r="141" spans="9:10">
      <c r="I141">
        <v>712.58</v>
      </c>
      <c r="J141">
        <v>26.5</v>
      </c>
    </row>
    <row r="142" spans="9:10">
      <c r="I142">
        <v>748.21</v>
      </c>
      <c r="J142">
        <v>28.8</v>
      </c>
    </row>
    <row r="143" spans="9:10">
      <c r="I143">
        <v>780.7</v>
      </c>
      <c r="J143">
        <v>34.5</v>
      </c>
    </row>
    <row r="144" spans="9:10">
      <c r="I144">
        <v>809.5</v>
      </c>
      <c r="J144">
        <v>39.5</v>
      </c>
    </row>
    <row r="145" spans="9:10">
      <c r="I145">
        <v>837.05</v>
      </c>
      <c r="J145">
        <v>44</v>
      </c>
    </row>
    <row r="146" spans="9:10">
      <c r="I146">
        <v>868.52</v>
      </c>
      <c r="J146">
        <v>48.6</v>
      </c>
    </row>
    <row r="147" spans="9:10">
      <c r="I147">
        <v>897.66</v>
      </c>
      <c r="J147">
        <v>52</v>
      </c>
    </row>
    <row r="148" spans="9:10">
      <c r="I148">
        <v>929.34</v>
      </c>
      <c r="J148">
        <v>54.7</v>
      </c>
    </row>
    <row r="149" spans="9:10">
      <c r="I149">
        <v>950.2</v>
      </c>
      <c r="J149">
        <v>55.6</v>
      </c>
    </row>
    <row r="150" spans="9:10">
      <c r="I150">
        <v>986.76</v>
      </c>
      <c r="J150">
        <v>54.8</v>
      </c>
    </row>
    <row r="151" spans="9:10">
      <c r="I151">
        <v>1016.75</v>
      </c>
      <c r="J151">
        <v>51.5</v>
      </c>
    </row>
    <row r="152" spans="9:10">
      <c r="I152">
        <v>1046.8699999999999</v>
      </c>
      <c r="J152">
        <v>46.8</v>
      </c>
    </row>
    <row r="153" spans="9:10">
      <c r="I153">
        <v>1075.25</v>
      </c>
      <c r="J153">
        <v>41.5</v>
      </c>
    </row>
    <row r="154" spans="9:10">
      <c r="I154">
        <v>1106.26</v>
      </c>
      <c r="J154">
        <v>36.299999999999997</v>
      </c>
    </row>
    <row r="155" spans="9:10">
      <c r="I155">
        <v>1134.51</v>
      </c>
      <c r="J155">
        <v>32.700000000000003</v>
      </c>
    </row>
    <row r="156" spans="9:10">
      <c r="I156">
        <v>1163.05</v>
      </c>
      <c r="J156">
        <v>30.5</v>
      </c>
    </row>
    <row r="157" spans="9:10">
      <c r="I157">
        <v>1186.1500000000001</v>
      </c>
      <c r="J157">
        <v>29.7</v>
      </c>
    </row>
    <row r="158" spans="9:10">
      <c r="I158">
        <v>1222.01</v>
      </c>
      <c r="J158">
        <v>30.2</v>
      </c>
    </row>
    <row r="159" spans="9:10">
      <c r="I159">
        <v>1257.8800000000001</v>
      </c>
      <c r="J159">
        <v>32.700000000000003</v>
      </c>
    </row>
    <row r="160" spans="9:10">
      <c r="I160">
        <v>1288.78</v>
      </c>
      <c r="J160">
        <v>36.5</v>
      </c>
    </row>
    <row r="161" spans="9:10">
      <c r="I161">
        <v>1316.46</v>
      </c>
      <c r="J161">
        <v>40.6</v>
      </c>
    </row>
    <row r="162" spans="9:10">
      <c r="I162">
        <v>1347.15</v>
      </c>
      <c r="J162">
        <v>45.6</v>
      </c>
    </row>
    <row r="163" spans="9:10">
      <c r="I163">
        <v>1380.2</v>
      </c>
      <c r="J163">
        <v>50.3</v>
      </c>
    </row>
    <row r="164" spans="9:10">
      <c r="I164">
        <v>1410.17</v>
      </c>
      <c r="J164">
        <v>53.2</v>
      </c>
    </row>
    <row r="165" spans="9:10">
      <c r="I165">
        <v>1426.5</v>
      </c>
      <c r="J165">
        <v>54.1</v>
      </c>
    </row>
    <row r="166" spans="9:10">
      <c r="I166">
        <v>1464.85</v>
      </c>
      <c r="J166">
        <v>53.6</v>
      </c>
    </row>
    <row r="167" spans="9:10">
      <c r="I167">
        <v>1499.3</v>
      </c>
      <c r="J167">
        <v>51.3</v>
      </c>
    </row>
    <row r="168" spans="9:10">
      <c r="I168">
        <v>1530.31</v>
      </c>
      <c r="J168">
        <v>47.8</v>
      </c>
    </row>
    <row r="169" spans="9:10">
      <c r="I169">
        <v>1557.99</v>
      </c>
      <c r="J169">
        <v>44</v>
      </c>
    </row>
    <row r="170" spans="9:10">
      <c r="I170">
        <v>1590.42</v>
      </c>
      <c r="J170">
        <v>39.6</v>
      </c>
    </row>
    <row r="171" spans="9:10">
      <c r="I171">
        <v>1618.22</v>
      </c>
      <c r="J171">
        <v>36</v>
      </c>
    </row>
    <row r="172" spans="9:10">
      <c r="I172">
        <v>1646.57</v>
      </c>
      <c r="J172">
        <v>33.1</v>
      </c>
    </row>
    <row r="173" spans="9:10">
      <c r="I173">
        <v>1677.85</v>
      </c>
      <c r="J173">
        <v>31.1</v>
      </c>
    </row>
    <row r="174" spans="9:10">
      <c r="I174">
        <v>1703.44</v>
      </c>
      <c r="J174">
        <v>30.7</v>
      </c>
    </row>
    <row r="175" spans="9:10">
      <c r="I175">
        <v>1743.09</v>
      </c>
      <c r="J175">
        <v>32.9</v>
      </c>
    </row>
    <row r="176" spans="9:10">
      <c r="I176">
        <v>1771.74</v>
      </c>
      <c r="J176">
        <v>35.9</v>
      </c>
    </row>
    <row r="177" spans="9:10">
      <c r="I177">
        <v>1795.48</v>
      </c>
      <c r="J177">
        <v>39</v>
      </c>
    </row>
    <row r="178" spans="9:10">
      <c r="I178">
        <v>1829.03</v>
      </c>
      <c r="J178">
        <v>43.5</v>
      </c>
    </row>
    <row r="179" spans="9:10">
      <c r="I179">
        <v>1858.4</v>
      </c>
      <c r="J179">
        <v>47.4</v>
      </c>
    </row>
    <row r="180" spans="9:10">
      <c r="I180">
        <v>1891.52</v>
      </c>
      <c r="J180">
        <v>50.6</v>
      </c>
    </row>
    <row r="181" spans="9:10">
      <c r="I181">
        <v>1920.34</v>
      </c>
      <c r="J181">
        <v>52.1</v>
      </c>
    </row>
    <row r="182" spans="9:10">
      <c r="I182">
        <v>1946.44</v>
      </c>
      <c r="J182">
        <v>52.5</v>
      </c>
    </row>
    <row r="183" spans="9:10">
      <c r="I183">
        <v>1976.53</v>
      </c>
      <c r="J183">
        <v>51.4</v>
      </c>
    </row>
    <row r="184" spans="9:10">
      <c r="I184">
        <v>2008.76</v>
      </c>
      <c r="J184">
        <v>48.8</v>
      </c>
    </row>
    <row r="185" spans="9:10">
      <c r="I185">
        <v>2034.03</v>
      </c>
      <c r="J185">
        <v>46</v>
      </c>
    </row>
    <row r="186" spans="9:10">
      <c r="I186">
        <v>2066.5100000000002</v>
      </c>
      <c r="J186">
        <v>41.6</v>
      </c>
    </row>
    <row r="187" spans="9:10">
      <c r="I187">
        <v>2097.15</v>
      </c>
      <c r="J187">
        <v>37.9</v>
      </c>
    </row>
    <row r="188" spans="9:10">
      <c r="I188">
        <v>2128.2600000000002</v>
      </c>
      <c r="J188">
        <v>34.700000000000003</v>
      </c>
    </row>
    <row r="189" spans="9:10">
      <c r="I189">
        <v>2159.3200000000002</v>
      </c>
      <c r="J189">
        <v>33</v>
      </c>
    </row>
    <row r="190" spans="9:10">
      <c r="I190">
        <v>2188.87</v>
      </c>
      <c r="J190">
        <v>32.5</v>
      </c>
    </row>
    <row r="191" spans="9:10">
      <c r="I191">
        <v>2228.2800000000002</v>
      </c>
      <c r="J191">
        <v>34</v>
      </c>
    </row>
    <row r="192" spans="9:10">
      <c r="I192">
        <v>2253.21</v>
      </c>
      <c r="J192">
        <v>35.700000000000003</v>
      </c>
    </row>
    <row r="193" spans="9:10">
      <c r="I193">
        <v>2279.9499999999998</v>
      </c>
      <c r="J193">
        <v>38.5</v>
      </c>
    </row>
    <row r="194" spans="9:10">
      <c r="I194">
        <v>2311.2800000000002</v>
      </c>
      <c r="J194">
        <v>42.1</v>
      </c>
    </row>
    <row r="195" spans="9:10">
      <c r="I195">
        <v>2339.1799999999998</v>
      </c>
      <c r="J195">
        <v>45.4</v>
      </c>
    </row>
    <row r="196" spans="9:10">
      <c r="I196">
        <v>2370.27</v>
      </c>
      <c r="J196">
        <v>48.7</v>
      </c>
    </row>
    <row r="197" spans="9:10">
      <c r="I197">
        <v>2400.64</v>
      </c>
      <c r="J197">
        <v>50.6</v>
      </c>
    </row>
    <row r="198" spans="9:10">
      <c r="I198">
        <v>2428.2399999999998</v>
      </c>
      <c r="J198">
        <v>51.4</v>
      </c>
    </row>
    <row r="199" spans="9:10">
      <c r="I199">
        <v>2462.02</v>
      </c>
      <c r="J199">
        <v>50.7</v>
      </c>
    </row>
    <row r="200" spans="9:10">
      <c r="I200">
        <v>2490.48</v>
      </c>
      <c r="J200">
        <v>49</v>
      </c>
    </row>
    <row r="201" spans="9:10">
      <c r="I201">
        <v>2518.84</v>
      </c>
      <c r="J201">
        <v>46.4</v>
      </c>
    </row>
    <row r="202" spans="9:10">
      <c r="I202">
        <v>2548.92</v>
      </c>
      <c r="J202">
        <v>43.3</v>
      </c>
    </row>
    <row r="203" spans="9:10">
      <c r="I203">
        <v>2577.6999999999998</v>
      </c>
      <c r="J203">
        <v>40</v>
      </c>
    </row>
    <row r="204" spans="9:10">
      <c r="I204">
        <v>2609.9</v>
      </c>
      <c r="J204">
        <v>37</v>
      </c>
    </row>
    <row r="205" spans="9:10">
      <c r="I205">
        <v>2637.85</v>
      </c>
      <c r="J205">
        <v>35</v>
      </c>
    </row>
    <row r="206" spans="9:10">
      <c r="I206">
        <v>2671.66</v>
      </c>
      <c r="J206">
        <v>33.700000000000003</v>
      </c>
    </row>
    <row r="207" spans="9:10">
      <c r="I207">
        <v>2699.08</v>
      </c>
      <c r="J207">
        <v>33.799999999999997</v>
      </c>
    </row>
    <row r="208" spans="9:10">
      <c r="I208">
        <v>2730.6</v>
      </c>
      <c r="J208">
        <v>35.299999999999997</v>
      </c>
    </row>
    <row r="209" spans="9:10">
      <c r="I209">
        <v>2759.22</v>
      </c>
      <c r="J209">
        <v>37.6</v>
      </c>
    </row>
    <row r="210" spans="9:10">
      <c r="I210">
        <v>2788.54</v>
      </c>
      <c r="J210">
        <v>40.5</v>
      </c>
    </row>
    <row r="211" spans="9:10">
      <c r="I211">
        <v>2817.09</v>
      </c>
      <c r="J211">
        <v>43.4</v>
      </c>
    </row>
    <row r="212" spans="9:10">
      <c r="I212">
        <v>2847.85</v>
      </c>
      <c r="J212">
        <v>46.3</v>
      </c>
    </row>
    <row r="213" spans="9:10">
      <c r="I213">
        <v>2876.32</v>
      </c>
      <c r="J213">
        <v>48.4</v>
      </c>
    </row>
    <row r="214" spans="9:10">
      <c r="I214">
        <v>2908.98</v>
      </c>
      <c r="J214">
        <v>49.9</v>
      </c>
    </row>
    <row r="215" spans="9:10">
      <c r="I215">
        <v>2936.78</v>
      </c>
      <c r="J215">
        <v>50.2</v>
      </c>
    </row>
    <row r="216" spans="9:10">
      <c r="I216">
        <v>2970.16</v>
      </c>
      <c r="J216">
        <v>49.3</v>
      </c>
    </row>
    <row r="217" spans="9:10">
      <c r="I217">
        <v>2996.69</v>
      </c>
      <c r="J217">
        <v>47.5</v>
      </c>
    </row>
    <row r="218" spans="9:10">
      <c r="I218">
        <v>3029.6</v>
      </c>
      <c r="J218">
        <v>44.6</v>
      </c>
    </row>
    <row r="219" spans="9:10">
      <c r="I219">
        <v>3055.88</v>
      </c>
      <c r="J219">
        <v>42</v>
      </c>
    </row>
    <row r="220" spans="9:10">
      <c r="I220">
        <v>3087.86</v>
      </c>
      <c r="J220">
        <v>39</v>
      </c>
    </row>
    <row r="221" spans="9:10">
      <c r="I221">
        <v>3122.24</v>
      </c>
      <c r="J221">
        <v>36.6</v>
      </c>
    </row>
    <row r="222" spans="9:10">
      <c r="I222">
        <v>3151.44</v>
      </c>
      <c r="J222">
        <v>35.1</v>
      </c>
    </row>
    <row r="223" spans="9:10">
      <c r="I223">
        <v>3179.33</v>
      </c>
      <c r="J223">
        <v>34.700000000000003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B846-9507-4684-B8E6-0208B32E474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josep pastor</cp:lastModifiedBy>
  <cp:revision/>
  <dcterms:created xsi:type="dcterms:W3CDTF">2026-03-31T13:30:25Z</dcterms:created>
  <dcterms:modified xsi:type="dcterms:W3CDTF">2026-04-06T18:14:36Z</dcterms:modified>
  <cp:category/>
  <cp:contentStatus/>
</cp:coreProperties>
</file>